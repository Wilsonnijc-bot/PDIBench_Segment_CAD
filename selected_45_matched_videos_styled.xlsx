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00" windowHeight="14380"/>
  </bookViews>
  <sheets>
    <sheet name="Selected 45" sheetId="1" r:id="rId1"/>
    <sheet name="Selection summary" sheetId="2" r:id="rId2"/>
  </sheets>
  <calcPr calcId="144525"/>
</workbook>
</file>

<file path=xl/sharedStrings.xml><?xml version="1.0" encoding="utf-8"?>
<sst xmlns="http://schemas.openxmlformats.org/spreadsheetml/2006/main" count="562" uniqueCount="174">
  <si>
    <t>Matched number</t>
  </si>
  <si>
    <t>Source row</t>
  </si>
  <si>
    <t>Dataset</t>
  </si>
  <si>
    <t>Generator</t>
  </si>
  <si>
    <t>Video ID</t>
  </si>
  <si>
    <t>Original Instruction / Task</t>
  </si>
  <si>
    <t>Generation Prompt</t>
  </si>
  <si>
    <t>Task Outcome</t>
  </si>
  <si>
    <t>Incomplete task (0/1)</t>
  </si>
  <si>
    <t>Wrong goal (0/1)</t>
  </si>
  <si>
    <t>Task Score (0-1)</t>
  </si>
  <si>
    <t>No-contact motion (0/1)</t>
  </si>
  <si>
    <t>Lost / wrong contact (0/1)</t>
  </si>
  <si>
    <t>Sticking (0/1)</t>
  </si>
  <si>
    <t>Contact Score (0-1)</t>
  </si>
  <si>
    <t>Robot deformation (0/1)</t>
  </si>
  <si>
    <t>Object deformation (0/1)</t>
  </si>
  <si>
    <t>Object duplication/disappear (0/1)</t>
  </si>
  <si>
    <t>Spatial inconsistency (0/1)</t>
  </si>
  <si>
    <t>Geometry Score (0-1)</t>
  </si>
  <si>
    <t>Penetration R-O (0/1)</t>
  </si>
  <si>
    <t>Penetration R-E (0/1)</t>
  </si>
  <si>
    <t>Penetration O-E (0/1)</t>
  </si>
  <si>
    <t>Penetration Score (0-1)</t>
  </si>
  <si>
    <t>Error Description / Timestamp</t>
  </si>
  <si>
    <t>Note</t>
  </si>
  <si>
    <t>Affects Execution?</t>
  </si>
  <si>
    <t>Forearm deformation</t>
  </si>
  <si>
    <t>Gripper deformation</t>
  </si>
  <si>
    <t>Upper arm deformation</t>
  </si>
  <si>
    <t>Matched number2</t>
  </si>
  <si>
    <t>Column1</t>
  </si>
  <si>
    <t>Dataset2</t>
  </si>
  <si>
    <t>Forearm deformation2</t>
  </si>
  <si>
    <t>Gripper deformation2</t>
  </si>
  <si>
    <t>Upper arm deformation2</t>
  </si>
  <si>
    <t>001</t>
  </si>
  <si>
    <t>LVP</t>
  </si>
  <si>
    <t>RoboWM_001</t>
  </si>
  <si>
    <t>close_drawer</t>
  </si>
  <si>
    <t>The robotic arm closes its gripper and pushes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</si>
  <si>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Success</t>
  </si>
  <si>
    <t>The robot arm changes in length, and some parts of its shape deform slightly; for example, a section that is initially uneven becomes straight.</t>
  </si>
  <si>
    <t>No</t>
  </si>
  <si>
    <t>Cosmos2.5</t>
  </si>
  <si>
    <t>Cosmos</t>
  </si>
  <si>
    <t>cosmos_RoboWM_001</t>
  </si>
  <si>
    <t>Failure</t>
  </si>
  <si>
    <t>1. The gripper uses the wrong contact point: instead of pushing the drawer, it moves inside it. 2. It pulls the whole box from the inside without contact. 3. It moves the box instead of closing the drawer. 4. The forearm deforms.</t>
  </si>
  <si>
    <t>Yes</t>
  </si>
  <si>
    <t>Cosmos3 seed101</t>
  </si>
  <si>
    <t>cosmos3 seed101</t>
  </si>
  <si>
    <t>The execution matches the prompt exactly.</t>
  </si>
  <si>
    <t>005</t>
  </si>
  <si>
    <t>RoboWM_005</t>
  </si>
  <si>
    <t>discard_trash</t>
  </si>
  <si>
    <t>The robotic arm picks up the blue cube from the table and moves it above the trash bin then releases the gripper so the cube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</si>
  <si>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changes its shape suddenly, and the block deforms during the process.</t>
  </si>
  <si>
    <t>cosmos_RoboWM_005</t>
  </si>
  <si>
    <t>Partial success</t>
  </si>
  <si>
    <t>The blue cube remains stuck to the gripper, turns red, and is duplicated.</t>
  </si>
  <si>
    <t>Possibly</t>
  </si>
  <si>
    <t>The robot's forearm deforms and becomes significantly shorter after it grasps the cube.</t>
  </si>
  <si>
    <t>010</t>
  </si>
  <si>
    <t>RoboWM_010</t>
  </si>
  <si>
    <t>The robotic arm picks up the white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</si>
  <si>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gripper approaches the cup but fails to form a physically correct grasp; both fingers move toward the center of the cup. The cup deforms unnaturally during the grasp, and the robot arm also changes thickness and bends inconsistently.</t>
  </si>
  <si>
    <t>cosmos_RoboWM_010</t>
  </si>
  <si>
    <t>The cup penetrates the bin and remains stuck to the gripper instead of being released.</t>
  </si>
  <si>
    <t>The robot's forearm deforms. Severe object duplication/disappearance and non-contact/deformation errors occur multiple times.</t>
  </si>
  <si>
    <t>015</t>
  </si>
  <si>
    <t>RoboWM_015</t>
  </si>
  <si>
    <t>pick</t>
  </si>
  <si>
    <t>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</si>
  <si>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bends unnaturally.</t>
  </si>
  <si>
    <t>The video seems to be physically plausible but not really sure.</t>
  </si>
  <si>
    <t>cosmos_RoboWM_015</t>
  </si>
  <si>
    <t>Because of poor spatial reasoning, the gripper falls short of reaching the correct top contact point on the cup, but it still lifts the cup using an incorrect contact.</t>
  </si>
  <si>
    <t>Both the robot gripper and the object deform at the contact point. Because of poor spatial reasoning, the gripper appears to hide the cup from the camera before grasping it. It then releases the cup instead of lifting it, which is the wrong goal. The robot's forearm also deforms as it approaches the cup.</t>
  </si>
  <si>
    <t>021</t>
  </si>
  <si>
    <t>RoboWM_021</t>
  </si>
  <si>
    <t>The robotic arm picks up the brown paper cup from the tabletop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</si>
  <si>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cosmos_RoboWM_021</t>
  </si>
  <si>
    <t>The task is incomplete because of poor spatial reasoning.</t>
  </si>
  <si>
    <t>The robot gripper deforms as it approaches the contact point. The goal is incorrect because the robot releases the object. The robot's forearm also deforms.</t>
  </si>
  <si>
    <t>025</t>
  </si>
  <si>
    <t>RoboWM_025</t>
  </si>
  <si>
    <t>pull</t>
  </si>
  <si>
    <t>The robotic arm pulls the yellow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</si>
  <si>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Both the robot arm and the cube deform during the process.</t>
  </si>
  <si>
    <t>cosmos_RoboWM_025</t>
  </si>
  <si>
    <t>The gripper releases the cube before lifting it, leaving the task incomplete. At the contact point, both the gripper's right finger and the cube deform.</t>
  </si>
  <si>
    <t>The gripper fails to grasp the yellow cube even though it is very close. The yellow cube then moves unreasonably without contact.</t>
  </si>
  <si>
    <t>030</t>
  </si>
  <si>
    <t>RoboWM_030</t>
  </si>
  <si>
    <t>The robotic arm pulls the brown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</si>
  <si>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After the robot arm picks up the box it duplicates one.</t>
  </si>
  <si>
    <t>/</t>
  </si>
  <si>
    <t>cosmos_RoboWM_030</t>
  </si>
  <si>
    <t>The gripper lifts the brown cube rather than pulling it inward, which is the wrong goal. At the contact point, the gripper's right finger deforms, and the object appears to become soft.</t>
  </si>
  <si>
    <t>The task is incomplete because the gripper approaches the brown cube but does nothing. The gripper's black finger deforms into an unrelated black cube.</t>
  </si>
  <si>
    <t>035</t>
  </si>
  <si>
    <t>RoboWM_035</t>
  </si>
  <si>
    <t>push</t>
  </si>
  <si>
    <t>The robotic arm pushes the yellow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</si>
  <si>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front end changes position, and the gripper becomes longer when reaching the cube. The robot also moves the cube in the opposite direction from that required by the prompt.</t>
  </si>
  <si>
    <t>cosmos_RoboWM_035</t>
  </si>
  <si>
    <t>The task is incomplete. The gripper approaches and grasps the cube correctly, but it does not move the cube.</t>
  </si>
  <si>
    <t>040</t>
  </si>
  <si>
    <t>RoboWM_040</t>
  </si>
  <si>
    <t>The robotic arm pushes the brown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</si>
  <si>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contact point is incorrect, and the box deforms and moves in the wrong direction.</t>
  </si>
  <si>
    <t>cosmos_RoboWM_040</t>
  </si>
  <si>
    <t>The gripper grasps the box but does not meaningfully move it in the intended outward direction because of poor spatial reasoning. The object also deforms slightly during contact.</t>
  </si>
  <si>
    <t>The goal is incorrect because the gripper tries to lift the object instead of pushing it away. The task is also incomplete because the gripper never reaches or approaches a valid contact point.</t>
  </si>
  <si>
    <t>044</t>
  </si>
  <si>
    <t>RoboWM_044</t>
  </si>
  <si>
    <t>push_button</t>
  </si>
  <si>
    <t>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</si>
  <si>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does not close its gripper, and it bends unnaturally.</t>
  </si>
  <si>
    <t>cosmos_RoboWM_044</t>
  </si>
  <si>
    <t>The robot's forearm is deformed; the rest of the execution is good.</t>
  </si>
  <si>
    <t>The gripper is deformed; the rest of the execution is fine.</t>
  </si>
  <si>
    <t>046</t>
  </si>
  <si>
    <t>RoboWM_046</t>
  </si>
  <si>
    <t>The front-end changes its shape, and the robot arm bends unnaturally.</t>
  </si>
  <si>
    <t>cosmos_RoboWM_046</t>
  </si>
  <si>
    <t>The yellow button moves toward the gripper by itself; the rest of the execution is fine.</t>
  </si>
  <si>
    <t>A gripper finger deforms into a gray object. At the contact point, the gray object deforms and generates an unrelated white cube. This abnormal action also causes the manipulated object to deform.</t>
  </si>
  <si>
    <t>054</t>
  </si>
  <si>
    <t>RoboWM_054</t>
  </si>
  <si>
    <t>put_in_drawer</t>
  </si>
  <si>
    <t>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</si>
  <si>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front end deforms. The cube appears both in the gripper and in the drawer at the same time, indicating duplication/spatial inconsistency. It also penetrates into the drawer instead of being placed through the opening.</t>
  </si>
  <si>
    <t>cosmos_RoboWM_054</t>
  </si>
  <si>
    <t>The robot's forearm is deformed. The gripper does not release the cube cleanly into the drawer; instead, it throws the cube into the drawer. While closing the drawer, the robot chooses the wrong contact point and appears to pull the drawer closed. The drawer also moves by itself without contact and deforms during closing.</t>
  </si>
  <si>
    <t>A duplicate yellow cube is generated on the gripper, and other unrelated objects are also generated inside the drawer. The robot pulls the drawer outward, which is completely the wrong goal.</t>
  </si>
  <si>
    <t>056</t>
  </si>
  <si>
    <t>RoboWM_056</t>
  </si>
  <si>
    <t>The gripper does not close properly around the cube, and the cube sticks to one finger instead of being securely grasped. The robot then closes the drawer without placing the cube inside, and the cube disappears near the end of the video.</t>
  </si>
  <si>
    <t>cosmos_RoboWM_056</t>
  </si>
  <si>
    <t>The execution is good, but the drawer deforms during closing. The robot arm also deforms and becomes significantly shorter.</t>
  </si>
  <si>
    <t>The task is incomplete because the robot does not close the drawer. As the gripper approaches the cube, it penetrates the drawer.</t>
  </si>
  <si>
    <t>060</t>
  </si>
  <si>
    <t>RoboWM_060</t>
  </si>
  <si>
    <t>put_on_plate</t>
  </si>
  <si>
    <t>The robotic arm picks up the white cup from the table and moves the gripper above the plate then releases the cup placing it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</si>
  <si>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bends unnaturally, and the gripper only reaches the middle of the cup rather than its edge, making a valid grasp impossible.</t>
  </si>
  <si>
    <t>cosmos_RoboWM_060</t>
  </si>
  <si>
    <t>The white part of the robot deforms directly into a duplicated white cup. The robot then appears to treat itself as holding the correct cup.</t>
  </si>
  <si>
    <t>The forearm is deformed/shortened. The contact is not physically plausible because the gripper does not choose the correct contact point.</t>
  </si>
  <si>
    <t>065</t>
  </si>
  <si>
    <t>RoboWM_065</t>
  </si>
  <si>
    <t>The robotic arm picks up the brown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t>
  </si>
  <si>
    <t>The robot arm changes its width, and the cup sticks to the gripper before they contact each other.</t>
  </si>
  <si>
    <t>cosmos_RoboWM_065</t>
  </si>
  <si>
    <t>The execution is fine, but the robot's forearm is deformed and too short.</t>
  </si>
  <si>
    <t>The cup deforms and grows a handle at the contact point, and it is duplicated halfway through the video. The forearm is also deformed/shortened.</t>
  </si>
  <si>
    <t>Matched video selection</t>
  </si>
  <si>
    <t>15 video numbers shared by all three generators; 45 annotation rows from updated3model.xlsx.</t>
  </si>
  <si>
    <t>Task</t>
  </si>
  <si>
    <t>Matched numbers</t>
  </si>
  <si>
    <t>Rows</t>
  </si>
  <si>
    <t>Selected numbers</t>
  </si>
  <si>
    <t>005, 010</t>
  </si>
  <si>
    <t>015, 021</t>
  </si>
  <si>
    <t>025, 030</t>
  </si>
  <si>
    <t>035, 040</t>
  </si>
  <si>
    <t>044, 046</t>
  </si>
  <si>
    <t>054, 056</t>
  </si>
  <si>
    <t>060, 065</t>
  </si>
  <si>
    <t>Selection method</t>
  </si>
  <si>
    <t>One matched number from close_drawer and two from each other task. Numbers were spread within each task where possible.</t>
  </si>
  <si>
    <t>Binary annotation fields accept 0 or 1. Task, contact, geometry, and penetration scores recalculate when those fields change.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</si>
</sst>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6"/>
      <color rgb="FF23344B"/>
      <name val="Arial"/>
      <charset val="134"/>
    </font>
    <font>
      <sz val="10"/>
      <color rgb="FF253345"/>
      <name val="Arial"/>
      <charset val="134"/>
    </font>
    <font>
      <i/>
      <sz val="10"/>
      <color rgb="FF627287"/>
      <name val="Arial"/>
      <charset val="134"/>
    </font>
    <font>
      <b/>
      <sz val="10"/>
      <color rgb="FFFFFFFF"/>
      <name val="Arial"/>
      <charset val="134"/>
    </font>
    <font>
      <b/>
      <sz val="10"/>
      <color rgb="FF23344B"/>
      <name val="Arial"/>
      <charset val="134"/>
    </font>
    <font>
      <b/>
      <sz val="10"/>
      <color rgb="FF17375E"/>
      <name val="Arial"/>
      <charset val="134"/>
    </font>
    <font>
      <b/>
      <sz val="10"/>
      <color rgb="FF203B53"/>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rgb="FF23344B"/>
        <bgColor indexed="64"/>
      </patternFill>
    </fill>
    <fill>
      <patternFill patternType="solid">
        <fgColor rgb="FF34465C"/>
        <bgColor indexed="64"/>
      </patternFill>
    </fill>
    <fill>
      <patternFill patternType="solid">
        <fgColor rgb="FF265B85"/>
        <bgColor indexed="64"/>
      </patternFill>
    </fill>
    <fill>
      <patternFill patternType="solid">
        <fgColor rgb="FF176A66"/>
        <bgColor indexed="64"/>
      </patternFill>
    </fill>
    <fill>
      <patternFill patternType="solid">
        <fgColor rgb="FFFFF7E6"/>
        <bgColor indexed="64"/>
      </patternFill>
    </fill>
    <fill>
      <patternFill patternType="solid">
        <fgColor rgb="FFE5F1F9"/>
        <bgColor indexed="64"/>
      </patternFill>
    </fill>
    <fill>
      <patternFill patternType="solid">
        <fgColor rgb="FF674B7E"/>
        <bgColor indexed="64"/>
      </patternFill>
    </fill>
    <fill>
      <patternFill patternType="solid">
        <fgColor rgb="FFE5F5F1"/>
        <bgColor indexed="64"/>
      </patternFill>
    </fill>
    <fill>
      <patternFill patternType="solid">
        <fgColor rgb="FFF0EAF6"/>
        <bgColor indexed="64"/>
      </patternFill>
    </fill>
    <fill>
      <patternFill patternType="solid">
        <fgColor rgb="FF8A5C2D"/>
        <bgColor indexed="64"/>
      </patternFill>
    </fill>
    <fill>
      <patternFill patternType="solid">
        <fgColor rgb="FFF8F0E5"/>
        <bgColor indexed="64"/>
      </patternFill>
    </fill>
    <fill>
      <patternFill patternType="solid">
        <fgColor rgb="FF4653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rgb="FFE8EDF2"/>
      </bottom>
      <diagonal/>
    </border>
    <border>
      <left style="thin">
        <color rgb="FFD9E2EC"/>
      </left>
      <right/>
      <top/>
      <bottom style="thin">
        <color rgb="FFE8EDF2"/>
      </bottom>
      <diagonal/>
    </border>
    <border>
      <left/>
      <right/>
      <top style="thin">
        <color rgb="FFE8EDF2"/>
      </top>
      <bottom style="thin">
        <color rgb="FFE8EDF2"/>
      </bottom>
      <diagonal/>
    </border>
    <border>
      <left style="thin">
        <color rgb="FFD9E2EC"/>
      </left>
      <right/>
      <top style="thin">
        <color rgb="FFE8EDF2"/>
      </top>
      <bottom style="thin">
        <color rgb="FFE8EDF2"/>
      </bottom>
      <diagonal/>
    </border>
    <border>
      <left/>
      <right/>
      <top style="thin">
        <color rgb="FFE8EDF2"/>
      </top>
      <bottom/>
      <diagonal/>
    </border>
    <border>
      <left style="thin">
        <color rgb="FFD9E2EC"/>
      </left>
      <right/>
      <top style="thin">
        <color rgb="FFE8EDF2"/>
      </top>
      <bottom/>
      <diagonal/>
    </border>
    <border>
      <left/>
      <right/>
      <top style="medium">
        <color rgb="FFB8C7D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4"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15" borderId="11" applyNumberFormat="0" applyAlignment="0" applyProtection="0">
      <alignment vertical="center"/>
    </xf>
    <xf numFmtId="0" fontId="18" fillId="16" borderId="12" applyNumberFormat="0" applyAlignment="0" applyProtection="0">
      <alignment vertical="center"/>
    </xf>
    <xf numFmtId="0" fontId="19" fillId="16" borderId="11" applyNumberFormat="0" applyAlignment="0" applyProtection="0">
      <alignment vertical="center"/>
    </xf>
    <xf numFmtId="0" fontId="20" fillId="17"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cellStyleXfs>
  <cellXfs count="36">
    <xf numFmtId="0" fontId="0" fillId="0" borderId="0" xfId="0"/>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4" fillId="2" borderId="0" xfId="0" applyNumberFormat="1" applyFont="1" applyFill="1" applyBorder="1"/>
    <xf numFmtId="0" fontId="2" fillId="0" borderId="1" xfId="0" applyNumberFormat="1" applyFont="1" applyFill="1" applyBorder="1"/>
    <xf numFmtId="0" fontId="2" fillId="0" borderId="2" xfId="0" applyNumberFormat="1" applyFont="1" applyFill="1" applyBorder="1"/>
    <xf numFmtId="0" fontId="2" fillId="0" borderId="3" xfId="0" applyNumberFormat="1" applyFont="1" applyFill="1" applyBorder="1"/>
    <xf numFmtId="0" fontId="2" fillId="0" borderId="4" xfId="0" applyNumberFormat="1" applyFont="1" applyFill="1" applyBorder="1"/>
    <xf numFmtId="0" fontId="2" fillId="0" borderId="5" xfId="0" applyNumberFormat="1" applyFont="1" applyFill="1" applyBorder="1"/>
    <xf numFmtId="0" fontId="2" fillId="0" borderId="6" xfId="0" applyNumberFormat="1" applyFont="1" applyFill="1" applyBorder="1"/>
    <xf numFmtId="0" fontId="5" fillId="0" borderId="0" xfId="0" applyNumberFormat="1" applyFont="1" applyFill="1" applyBorder="1"/>
    <xf numFmtId="0" fontId="2" fillId="0" borderId="0" xfId="0" applyNumberFormat="1" applyFont="1" applyFill="1" applyBorder="1" applyAlignment="1">
      <alignment wrapText="1"/>
    </xf>
    <xf numFmtId="0" fontId="4" fillId="2" borderId="0" xfId="0" applyNumberFormat="1" applyFont="1" applyFill="1" applyBorder="1" applyAlignment="1">
      <alignment vertical="center" wrapText="1"/>
    </xf>
    <xf numFmtId="49" fontId="6" fillId="0" borderId="0" xfId="0" applyNumberFormat="1" applyFont="1" applyFill="1" applyBorder="1" applyAlignment="1">
      <alignment vertical="center"/>
    </xf>
    <xf numFmtId="0" fontId="2" fillId="0" borderId="0" xfId="0" applyNumberFormat="1" applyFont="1" applyFill="1" applyBorder="1" applyAlignment="1">
      <alignment vertical="center"/>
    </xf>
    <xf numFmtId="49" fontId="6" fillId="0" borderId="7" xfId="0" applyNumberFormat="1" applyFont="1" applyFill="1" applyBorder="1" applyAlignment="1">
      <alignment vertical="center"/>
    </xf>
    <xf numFmtId="0" fontId="2" fillId="0" borderId="7" xfId="0" applyNumberFormat="1" applyFont="1" applyFill="1" applyBorder="1" applyAlignment="1">
      <alignment vertical="center"/>
    </xf>
    <xf numFmtId="0" fontId="4" fillId="3" borderId="0" xfId="0" applyNumberFormat="1" applyFont="1" applyFill="1" applyBorder="1" applyAlignment="1">
      <alignment vertical="center" wrapText="1"/>
    </xf>
    <xf numFmtId="0" fontId="2" fillId="0" borderId="0" xfId="0" applyNumberFormat="1" applyFont="1" applyFill="1" applyBorder="1" applyAlignment="1">
      <alignment vertical="center" wrapText="1"/>
    </xf>
    <xf numFmtId="0" fontId="2" fillId="0" borderId="7" xfId="0" applyNumberFormat="1" applyFont="1" applyFill="1" applyBorder="1" applyAlignment="1">
      <alignment vertical="center" wrapText="1"/>
    </xf>
    <xf numFmtId="0" fontId="4" fillId="4" borderId="0" xfId="0" applyNumberFormat="1" applyFont="1" applyFill="1" applyBorder="1" applyAlignment="1">
      <alignment vertical="center" wrapText="1"/>
    </xf>
    <xf numFmtId="0" fontId="4" fillId="5" borderId="0" xfId="0" applyNumberFormat="1" applyFont="1" applyFill="1" applyBorder="1" applyAlignment="1">
      <alignment vertical="center" wrapText="1"/>
    </xf>
    <xf numFmtId="0" fontId="2" fillId="6" borderId="0" xfId="0" applyNumberFormat="1" applyFont="1" applyFill="1" applyBorder="1" applyAlignment="1">
      <alignment vertical="center"/>
    </xf>
    <xf numFmtId="2" fontId="7" fillId="7" borderId="0" xfId="0" applyNumberFormat="1" applyFont="1" applyFill="1" applyBorder="1" applyAlignment="1">
      <alignment vertical="center"/>
    </xf>
    <xf numFmtId="0" fontId="2" fillId="6" borderId="7" xfId="0" applyNumberFormat="1" applyFont="1" applyFill="1" applyBorder="1" applyAlignment="1">
      <alignment vertical="center"/>
    </xf>
    <xf numFmtId="2" fontId="7" fillId="7" borderId="7" xfId="0" applyNumberFormat="1" applyFont="1" applyFill="1" applyBorder="1" applyAlignment="1">
      <alignment vertical="center"/>
    </xf>
    <xf numFmtId="0" fontId="4" fillId="8" borderId="0" xfId="0" applyNumberFormat="1" applyFont="1" applyFill="1" applyBorder="1" applyAlignment="1">
      <alignment vertical="center" wrapText="1"/>
    </xf>
    <xf numFmtId="2" fontId="7" fillId="9" borderId="0" xfId="0" applyNumberFormat="1" applyFont="1" applyFill="1" applyBorder="1" applyAlignment="1">
      <alignment vertical="center"/>
    </xf>
    <xf numFmtId="2" fontId="7" fillId="9" borderId="7" xfId="0" applyNumberFormat="1" applyFont="1" applyFill="1" applyBorder="1" applyAlignment="1">
      <alignment vertical="center"/>
    </xf>
    <xf numFmtId="2" fontId="7" fillId="10" borderId="0" xfId="0" applyNumberFormat="1" applyFont="1" applyFill="1" applyBorder="1" applyAlignment="1">
      <alignment vertical="center"/>
    </xf>
    <xf numFmtId="2" fontId="7" fillId="10" borderId="7" xfId="0" applyNumberFormat="1" applyFont="1" applyFill="1" applyBorder="1" applyAlignment="1">
      <alignment vertical="center"/>
    </xf>
    <xf numFmtId="0" fontId="4" fillId="11" borderId="0" xfId="0" applyNumberFormat="1" applyFont="1" applyFill="1" applyBorder="1" applyAlignment="1">
      <alignment vertical="center" wrapText="1"/>
    </xf>
    <xf numFmtId="2" fontId="7" fillId="12" borderId="0" xfId="0" applyNumberFormat="1" applyFont="1" applyFill="1" applyBorder="1" applyAlignment="1">
      <alignment vertical="center"/>
    </xf>
    <xf numFmtId="2" fontId="7" fillId="12" borderId="7" xfId="0" applyNumberFormat="1" applyFont="1" applyFill="1" applyBorder="1" applyAlignment="1">
      <alignment vertical="center"/>
    </xf>
    <xf numFmtId="0" fontId="4" fillId="13" borderId="0" xfId="0" applyNumberFormat="1"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b val="1"/>
        <color rgb="FF9B3D26"/>
      </font>
      <fill>
        <patternFill patternType="solid">
          <bgColor rgb="FFFCE3D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electedVideos" displayName="SelectedVideos" ref="A1:AJ46" totalsRowShown="0">
  <tableColumns count="36">
    <tableColumn id="1" name="Matched number"/>
    <tableColumn id="2" name="Source row"/>
    <tableColumn id="3" name="Dataset"/>
    <tableColumn id="4" name="Generator"/>
    <tableColumn id="5" name="Video ID"/>
    <tableColumn id="6" name="Original Instruction / Task"/>
    <tableColumn id="7" name="Generation Prompt"/>
    <tableColumn id="8" name="Task Outcome"/>
    <tableColumn id="9" name="Incomplete task (0/1)"/>
    <tableColumn id="10" name="Wrong goal (0/1)"/>
    <tableColumn id="11" name="Task Score (0-1)"/>
    <tableColumn id="12" name="No-contact motion (0/1)"/>
    <tableColumn id="13" name="Lost / wrong contact (0/1)"/>
    <tableColumn id="14" name="Sticking (0/1)"/>
    <tableColumn id="15" name="Contact Score (0-1)"/>
    <tableColumn id="16" name="Robot deformation (0/1)"/>
    <tableColumn id="17" name="Object deformation (0/1)"/>
    <tableColumn id="18" name="Object duplication/disappear (0/1)"/>
    <tableColumn id="19" name="Spatial inconsistency (0/1)"/>
    <tableColumn id="20" name="Geometry Score (0-1)"/>
    <tableColumn id="21" name="Penetration R-O (0/1)"/>
    <tableColumn id="22" name="Penetration R-E (0/1)"/>
    <tableColumn id="23" name="Penetration O-E (0/1)"/>
    <tableColumn id="24" name="Penetration Score (0-1)"/>
    <tableColumn id="25" name="Error Description / Timestamp"/>
    <tableColumn id="26" name="Note"/>
    <tableColumn id="27" name="Affects Execution?"/>
    <tableColumn id="28" name="Forearm deformation"/>
    <tableColumn id="29" name="Gripper deformation"/>
    <tableColumn id="30" name="Upper arm deformation"/>
    <tableColumn id="31" name="Matched number2"/>
    <tableColumn id="32" name="Column1"/>
    <tableColumn id="33" name="Dataset2"/>
    <tableColumn id="34" name="Forearm deformation2"/>
    <tableColumn id="35" name="Gripper deformation2"/>
    <tableColumn id="36" name="Upper arm deformation2"/>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6"/>
  <sheetViews>
    <sheetView showGridLines="0" tabSelected="1" zoomScale="73" zoomScaleNormal="73" topLeftCell="Y1" workbookViewId="0">
      <pane ySplit="1" topLeftCell="A39" activePane="bottomLeft" state="frozen"/>
      <selection/>
      <selection pane="bottomLeft" activeCell="AD44" sqref="AD44"/>
    </sheetView>
  </sheetViews>
  <sheetFormatPr defaultColWidth="9" defaultRowHeight="16.8"/>
  <cols>
    <col min="1" max="1" width="15" customWidth="1"/>
    <col min="2" max="2" width="11" customWidth="1"/>
    <col min="3" max="4" width="17" customWidth="1"/>
    <col min="5" max="5" width="23" customWidth="1"/>
    <col min="6" max="6" width="21" customWidth="1"/>
    <col min="7" max="7" width="69" customWidth="1"/>
    <col min="8" max="23" width="17" customWidth="1"/>
    <col min="24" max="24" width="18" customWidth="1"/>
    <col min="25" max="25" width="62" customWidth="1"/>
    <col min="26" max="26" width="34" customWidth="1"/>
    <col min="27" max="27" width="19" customWidth="1"/>
    <col min="28" max="30" width="18" customWidth="1"/>
    <col min="31" max="31" width="20.8014705882353" customWidth="1"/>
    <col min="32" max="32" width="15.1029411764706" customWidth="1"/>
    <col min="33" max="33" width="17.5220588235294" customWidth="1"/>
    <col min="34" max="34" width="13.1102941176471" customWidth="1"/>
    <col min="35" max="35" width="13.2867647058824" customWidth="1"/>
    <col min="36" max="36" width="20.5367647058824" customWidth="1"/>
  </cols>
  <sheetData>
    <row r="1" ht="54" customHeight="1" spans="1:36">
      <c r="A1" s="13" t="s">
        <v>0</v>
      </c>
      <c r="B1" s="13" t="s">
        <v>1</v>
      </c>
      <c r="C1" s="13" t="s">
        <v>2</v>
      </c>
      <c r="D1" s="13" t="s">
        <v>3</v>
      </c>
      <c r="E1" s="13" t="s">
        <v>4</v>
      </c>
      <c r="F1" s="13" t="s">
        <v>5</v>
      </c>
      <c r="G1" s="18" t="s">
        <v>6</v>
      </c>
      <c r="H1" s="18" t="s">
        <v>7</v>
      </c>
      <c r="I1" s="21" t="s">
        <v>8</v>
      </c>
      <c r="J1" s="21" t="s">
        <v>9</v>
      </c>
      <c r="K1" s="21" t="s">
        <v>10</v>
      </c>
      <c r="L1" s="22" t="s">
        <v>11</v>
      </c>
      <c r="M1" s="22" t="s">
        <v>12</v>
      </c>
      <c r="N1" s="22" t="s">
        <v>13</v>
      </c>
      <c r="O1" s="22" t="s">
        <v>14</v>
      </c>
      <c r="P1" s="27" t="s">
        <v>15</v>
      </c>
      <c r="Q1" s="27" t="s">
        <v>16</v>
      </c>
      <c r="R1" s="27" t="s">
        <v>17</v>
      </c>
      <c r="S1" s="27" t="s">
        <v>18</v>
      </c>
      <c r="T1" s="27" t="s">
        <v>19</v>
      </c>
      <c r="U1" s="32" t="s">
        <v>20</v>
      </c>
      <c r="V1" s="32" t="s">
        <v>21</v>
      </c>
      <c r="W1" s="32" t="s">
        <v>22</v>
      </c>
      <c r="X1" s="32" t="s">
        <v>23</v>
      </c>
      <c r="Y1" s="35" t="s">
        <v>24</v>
      </c>
      <c r="Z1" s="35" t="s">
        <v>25</v>
      </c>
      <c r="AA1" s="35" t="s">
        <v>26</v>
      </c>
      <c r="AB1" s="35" t="s">
        <v>27</v>
      </c>
      <c r="AC1" s="35" t="s">
        <v>28</v>
      </c>
      <c r="AD1" s="35" t="s">
        <v>29</v>
      </c>
      <c r="AE1" s="13" t="s">
        <v>30</v>
      </c>
      <c r="AF1" s="13" t="s">
        <v>31</v>
      </c>
      <c r="AG1" s="13" t="s">
        <v>32</v>
      </c>
      <c r="AH1" s="35" t="s">
        <v>33</v>
      </c>
      <c r="AI1" s="35" t="s">
        <v>34</v>
      </c>
      <c r="AJ1" s="35" t="s">
        <v>35</v>
      </c>
    </row>
    <row r="2" ht="76" customHeight="1" spans="1:36">
      <c r="A2" s="14" t="s">
        <v>36</v>
      </c>
      <c r="B2" s="15">
        <v>4</v>
      </c>
      <c r="C2" s="15" t="s">
        <v>37</v>
      </c>
      <c r="D2" s="15" t="s">
        <v>37</v>
      </c>
      <c r="E2" s="15" t="s">
        <v>38</v>
      </c>
      <c r="F2" s="15" t="s">
        <v>39</v>
      </c>
      <c r="G2" s="19" t="s">
        <v>40</v>
      </c>
      <c r="H2" s="15" t="s">
        <v>41</v>
      </c>
      <c r="I2" s="23">
        <v>0</v>
      </c>
      <c r="J2" s="23">
        <v>0</v>
      </c>
      <c r="K2" s="24">
        <f t="shared" ref="K2:K46" si="0">IF(COUNT(I2:J2)=0,"",ROUND(1-SUM(I2:J2)/2,2))</f>
        <v>1</v>
      </c>
      <c r="L2" s="23">
        <v>0</v>
      </c>
      <c r="M2" s="23">
        <v>0</v>
      </c>
      <c r="N2" s="23">
        <v>0</v>
      </c>
      <c r="O2" s="28">
        <f t="shared" ref="O2:O46" si="1">IF(COUNT(L2:N2)=0,"",ROUND(1-SUM(L2:N2)/3,2))</f>
        <v>1</v>
      </c>
      <c r="P2" s="23">
        <v>1</v>
      </c>
      <c r="Q2" s="23">
        <v>0</v>
      </c>
      <c r="R2" s="23">
        <v>0</v>
      </c>
      <c r="S2" s="23">
        <v>0</v>
      </c>
      <c r="T2" s="30">
        <f t="shared" ref="T2:T46" si="2">IF(COUNT(P2:S2)=0,"",ROUND(1-SUM(P2:S2)/4,2))</f>
        <v>0.75</v>
      </c>
      <c r="U2" s="23">
        <v>0</v>
      </c>
      <c r="V2" s="23">
        <v>0</v>
      </c>
      <c r="W2" s="23">
        <v>0</v>
      </c>
      <c r="X2" s="33">
        <f t="shared" ref="X2:X46" si="3">IF(COUNT(U2:W2)=0,"",ROUND(1-SUM(U2:W2)/3,2))</f>
        <v>1</v>
      </c>
      <c r="Y2" s="19" t="s">
        <v>42</v>
      </c>
      <c r="Z2" s="19"/>
      <c r="AA2" s="15" t="s">
        <v>43</v>
      </c>
      <c r="AB2" s="23">
        <v>0</v>
      </c>
      <c r="AC2" s="23">
        <v>0</v>
      </c>
      <c r="AD2" s="23">
        <v>0.5</v>
      </c>
      <c r="AE2" s="14" t="s">
        <v>36</v>
      </c>
      <c r="AF2" s="15"/>
      <c r="AG2" s="15" t="s">
        <v>37</v>
      </c>
      <c r="AH2" s="23">
        <v>0</v>
      </c>
      <c r="AI2" s="23">
        <v>0</v>
      </c>
      <c r="AJ2" s="23">
        <v>0.5</v>
      </c>
    </row>
    <row r="3" ht="76" customHeight="1" spans="1:36">
      <c r="A3" s="14" t="s">
        <v>36</v>
      </c>
      <c r="B3" s="15">
        <v>72</v>
      </c>
      <c r="C3" s="15" t="s">
        <v>44</v>
      </c>
      <c r="D3" s="15" t="s">
        <v>45</v>
      </c>
      <c r="E3" s="15" t="s">
        <v>46</v>
      </c>
      <c r="F3" s="15" t="s">
        <v>39</v>
      </c>
      <c r="G3" s="19" t="s">
        <v>40</v>
      </c>
      <c r="H3" s="15" t="s">
        <v>47</v>
      </c>
      <c r="I3" s="23">
        <v>1</v>
      </c>
      <c r="J3" s="23">
        <v>1</v>
      </c>
      <c r="K3" s="24">
        <f t="shared" si="0"/>
        <v>0</v>
      </c>
      <c r="L3" s="23">
        <v>1</v>
      </c>
      <c r="M3" s="23">
        <v>1</v>
      </c>
      <c r="N3" s="23">
        <v>0</v>
      </c>
      <c r="O3" s="28">
        <f t="shared" si="1"/>
        <v>0.33</v>
      </c>
      <c r="P3" s="23">
        <v>1</v>
      </c>
      <c r="Q3" s="23">
        <v>0</v>
      </c>
      <c r="R3" s="23">
        <v>0</v>
      </c>
      <c r="S3" s="23">
        <v>0</v>
      </c>
      <c r="T3" s="30">
        <f t="shared" si="2"/>
        <v>0.75</v>
      </c>
      <c r="U3" s="23">
        <v>0</v>
      </c>
      <c r="V3" s="23">
        <v>0</v>
      </c>
      <c r="W3" s="23">
        <v>0</v>
      </c>
      <c r="X3" s="33">
        <f t="shared" si="3"/>
        <v>1</v>
      </c>
      <c r="Y3" s="19" t="s">
        <v>48</v>
      </c>
      <c r="Z3" s="19"/>
      <c r="AA3" s="15" t="s">
        <v>49</v>
      </c>
      <c r="AB3" s="23">
        <v>1</v>
      </c>
      <c r="AC3" s="23">
        <v>1</v>
      </c>
      <c r="AD3" s="23">
        <v>1</v>
      </c>
      <c r="AE3" s="14" t="s">
        <v>36</v>
      </c>
      <c r="AF3" s="15"/>
      <c r="AG3" s="15" t="s">
        <v>44</v>
      </c>
      <c r="AH3" s="23">
        <v>1</v>
      </c>
      <c r="AI3" s="23">
        <v>1</v>
      </c>
      <c r="AJ3" s="23">
        <v>1</v>
      </c>
    </row>
    <row r="4" ht="76" customHeight="1" spans="1:36">
      <c r="A4" s="14" t="s">
        <v>36</v>
      </c>
      <c r="B4" s="15">
        <v>133</v>
      </c>
      <c r="C4" s="15" t="s">
        <v>50</v>
      </c>
      <c r="D4" s="15" t="s">
        <v>51</v>
      </c>
      <c r="E4" s="15" t="s">
        <v>46</v>
      </c>
      <c r="F4" s="15" t="s">
        <v>39</v>
      </c>
      <c r="G4" s="19" t="s">
        <v>40</v>
      </c>
      <c r="H4" s="15" t="s">
        <v>41</v>
      </c>
      <c r="I4" s="23">
        <v>0</v>
      </c>
      <c r="J4" s="23">
        <v>0</v>
      </c>
      <c r="K4" s="24">
        <f t="shared" si="0"/>
        <v>1</v>
      </c>
      <c r="L4" s="23">
        <v>0</v>
      </c>
      <c r="M4" s="23">
        <v>0</v>
      </c>
      <c r="N4" s="23">
        <v>0</v>
      </c>
      <c r="O4" s="28">
        <f t="shared" si="1"/>
        <v>1</v>
      </c>
      <c r="P4" s="23">
        <v>1</v>
      </c>
      <c r="Q4" s="23">
        <v>0</v>
      </c>
      <c r="R4" s="23">
        <v>0</v>
      </c>
      <c r="S4" s="23">
        <v>0</v>
      </c>
      <c r="T4" s="30">
        <f t="shared" si="2"/>
        <v>0.75</v>
      </c>
      <c r="U4" s="23">
        <v>0</v>
      </c>
      <c r="V4" s="23">
        <v>0</v>
      </c>
      <c r="W4" s="23">
        <v>0</v>
      </c>
      <c r="X4" s="33">
        <f t="shared" si="3"/>
        <v>1</v>
      </c>
      <c r="Y4" s="19" t="s">
        <v>52</v>
      </c>
      <c r="Z4" s="19"/>
      <c r="AA4" s="15" t="s">
        <v>43</v>
      </c>
      <c r="AB4" s="23">
        <v>0.5</v>
      </c>
      <c r="AC4" s="23">
        <v>1</v>
      </c>
      <c r="AD4" s="23">
        <v>0</v>
      </c>
      <c r="AE4" s="14" t="s">
        <v>36</v>
      </c>
      <c r="AF4" s="15"/>
      <c r="AG4" s="15" t="s">
        <v>50</v>
      </c>
      <c r="AH4" s="23">
        <v>1</v>
      </c>
      <c r="AI4" s="23">
        <v>0.5</v>
      </c>
      <c r="AJ4" s="23">
        <v>0</v>
      </c>
    </row>
    <row r="5" ht="76" customHeight="1" spans="1:36">
      <c r="A5" s="16" t="s">
        <v>53</v>
      </c>
      <c r="B5" s="17">
        <v>8</v>
      </c>
      <c r="C5" s="17" t="s">
        <v>37</v>
      </c>
      <c r="D5" s="17" t="s">
        <v>37</v>
      </c>
      <c r="E5" s="17" t="s">
        <v>54</v>
      </c>
      <c r="F5" s="17" t="s">
        <v>55</v>
      </c>
      <c r="G5" s="20" t="s">
        <v>56</v>
      </c>
      <c r="H5" s="17" t="s">
        <v>41</v>
      </c>
      <c r="I5" s="25">
        <v>0</v>
      </c>
      <c r="J5" s="25">
        <v>0</v>
      </c>
      <c r="K5" s="26">
        <f t="shared" si="0"/>
        <v>1</v>
      </c>
      <c r="L5" s="25">
        <v>0</v>
      </c>
      <c r="M5" s="25">
        <v>0</v>
      </c>
      <c r="N5" s="25">
        <v>0</v>
      </c>
      <c r="O5" s="29">
        <f t="shared" si="1"/>
        <v>1</v>
      </c>
      <c r="P5" s="25">
        <v>1</v>
      </c>
      <c r="Q5" s="25">
        <v>1</v>
      </c>
      <c r="R5" s="25">
        <v>0</v>
      </c>
      <c r="S5" s="25">
        <v>0</v>
      </c>
      <c r="T5" s="31">
        <f t="shared" si="2"/>
        <v>0.5</v>
      </c>
      <c r="U5" s="25">
        <v>0</v>
      </c>
      <c r="V5" s="25">
        <v>0</v>
      </c>
      <c r="W5" s="25">
        <v>0</v>
      </c>
      <c r="X5" s="34">
        <f t="shared" si="3"/>
        <v>1</v>
      </c>
      <c r="Y5" s="20" t="s">
        <v>57</v>
      </c>
      <c r="Z5" s="20"/>
      <c r="AA5" s="17" t="s">
        <v>43</v>
      </c>
      <c r="AB5" s="25">
        <v>1</v>
      </c>
      <c r="AC5" s="25">
        <v>0</v>
      </c>
      <c r="AD5" s="25">
        <v>0</v>
      </c>
      <c r="AE5" s="16" t="s">
        <v>53</v>
      </c>
      <c r="AF5" s="17"/>
      <c r="AG5" s="17" t="s">
        <v>37</v>
      </c>
      <c r="AH5" s="25">
        <v>1</v>
      </c>
      <c r="AI5" s="25">
        <v>0</v>
      </c>
      <c r="AJ5" s="25">
        <v>0</v>
      </c>
    </row>
    <row r="6" ht="76" customHeight="1" spans="1:36">
      <c r="A6" s="14" t="s">
        <v>53</v>
      </c>
      <c r="B6" s="15">
        <v>76</v>
      </c>
      <c r="C6" s="15" t="s">
        <v>44</v>
      </c>
      <c r="D6" s="15" t="s">
        <v>45</v>
      </c>
      <c r="E6" s="15" t="s">
        <v>58</v>
      </c>
      <c r="F6" s="15" t="s">
        <v>55</v>
      </c>
      <c r="G6" s="19" t="s">
        <v>56</v>
      </c>
      <c r="H6" s="15" t="s">
        <v>59</v>
      </c>
      <c r="I6" s="23">
        <v>1</v>
      </c>
      <c r="J6" s="23">
        <v>0</v>
      </c>
      <c r="K6" s="24">
        <f t="shared" si="0"/>
        <v>0.5</v>
      </c>
      <c r="L6" s="23">
        <v>0</v>
      </c>
      <c r="M6" s="23">
        <v>0</v>
      </c>
      <c r="N6" s="23">
        <v>1</v>
      </c>
      <c r="O6" s="28">
        <f t="shared" si="1"/>
        <v>0.67</v>
      </c>
      <c r="P6" s="23">
        <v>1</v>
      </c>
      <c r="Q6" s="23">
        <v>1</v>
      </c>
      <c r="R6" s="23">
        <v>1</v>
      </c>
      <c r="S6" s="23"/>
      <c r="T6" s="30">
        <f t="shared" si="2"/>
        <v>0.25</v>
      </c>
      <c r="U6" s="23">
        <v>0</v>
      </c>
      <c r="V6" s="23">
        <v>0</v>
      </c>
      <c r="W6" s="23">
        <v>0</v>
      </c>
      <c r="X6" s="33">
        <f t="shared" si="3"/>
        <v>1</v>
      </c>
      <c r="Y6" s="19" t="s">
        <v>60</v>
      </c>
      <c r="Z6" s="19"/>
      <c r="AA6" s="15" t="s">
        <v>61</v>
      </c>
      <c r="AB6" s="23">
        <v>1</v>
      </c>
      <c r="AC6" s="23">
        <v>1</v>
      </c>
      <c r="AD6" s="23">
        <v>1</v>
      </c>
      <c r="AE6" s="14" t="s">
        <v>53</v>
      </c>
      <c r="AF6" s="15"/>
      <c r="AG6" s="15" t="s">
        <v>44</v>
      </c>
      <c r="AH6" s="23">
        <v>1</v>
      </c>
      <c r="AI6" s="23">
        <v>3</v>
      </c>
      <c r="AJ6" s="23">
        <v>3</v>
      </c>
    </row>
    <row r="7" ht="76" customHeight="1" spans="1:36">
      <c r="A7" s="14" t="s">
        <v>53</v>
      </c>
      <c r="B7" s="15">
        <v>137</v>
      </c>
      <c r="C7" s="15" t="s">
        <v>50</v>
      </c>
      <c r="D7" s="15" t="s">
        <v>51</v>
      </c>
      <c r="E7" s="15" t="s">
        <v>58</v>
      </c>
      <c r="F7" s="15" t="s">
        <v>55</v>
      </c>
      <c r="G7" s="19" t="s">
        <v>56</v>
      </c>
      <c r="H7" s="15" t="s">
        <v>41</v>
      </c>
      <c r="I7" s="23">
        <v>0</v>
      </c>
      <c r="J7" s="23">
        <v>0</v>
      </c>
      <c r="K7" s="24">
        <f t="shared" si="0"/>
        <v>1</v>
      </c>
      <c r="L7" s="23">
        <v>0</v>
      </c>
      <c r="M7" s="23">
        <v>0</v>
      </c>
      <c r="N7" s="23">
        <v>0</v>
      </c>
      <c r="O7" s="28">
        <f t="shared" si="1"/>
        <v>1</v>
      </c>
      <c r="P7" s="23">
        <v>1</v>
      </c>
      <c r="Q7" s="23">
        <v>0</v>
      </c>
      <c r="R7" s="23">
        <v>0</v>
      </c>
      <c r="S7" s="23">
        <v>0</v>
      </c>
      <c r="T7" s="30">
        <f t="shared" si="2"/>
        <v>0.75</v>
      </c>
      <c r="U7" s="23">
        <v>0</v>
      </c>
      <c r="V7" s="23">
        <v>0</v>
      </c>
      <c r="W7" s="23">
        <v>0</v>
      </c>
      <c r="X7" s="33">
        <f t="shared" si="3"/>
        <v>1</v>
      </c>
      <c r="Y7" s="19" t="s">
        <v>62</v>
      </c>
      <c r="Z7" s="19"/>
      <c r="AA7" s="15" t="s">
        <v>61</v>
      </c>
      <c r="AB7" s="23">
        <v>1</v>
      </c>
      <c r="AC7" s="23">
        <v>1</v>
      </c>
      <c r="AD7" s="23">
        <v>0.5</v>
      </c>
      <c r="AE7" s="14" t="s">
        <v>53</v>
      </c>
      <c r="AF7" s="15"/>
      <c r="AG7" s="15" t="s">
        <v>50</v>
      </c>
      <c r="AH7" s="23">
        <v>1</v>
      </c>
      <c r="AI7" s="23">
        <v>0</v>
      </c>
      <c r="AJ7" s="23">
        <v>0</v>
      </c>
    </row>
    <row r="8" ht="76" customHeight="1" spans="1:36">
      <c r="A8" s="16" t="s">
        <v>63</v>
      </c>
      <c r="B8" s="17">
        <v>13</v>
      </c>
      <c r="C8" s="17" t="s">
        <v>37</v>
      </c>
      <c r="D8" s="17" t="s">
        <v>37</v>
      </c>
      <c r="E8" s="17" t="s">
        <v>64</v>
      </c>
      <c r="F8" s="17" t="s">
        <v>55</v>
      </c>
      <c r="G8" s="20" t="s">
        <v>65</v>
      </c>
      <c r="H8" s="17" t="s">
        <v>41</v>
      </c>
      <c r="I8" s="25">
        <v>0</v>
      </c>
      <c r="J8" s="25">
        <v>0</v>
      </c>
      <c r="K8" s="26">
        <f t="shared" si="0"/>
        <v>1</v>
      </c>
      <c r="L8" s="25">
        <v>0</v>
      </c>
      <c r="M8" s="25">
        <v>1</v>
      </c>
      <c r="N8" s="25">
        <v>0</v>
      </c>
      <c r="O8" s="29">
        <f t="shared" si="1"/>
        <v>0.67</v>
      </c>
      <c r="P8" s="25">
        <v>1</v>
      </c>
      <c r="Q8" s="25">
        <v>1</v>
      </c>
      <c r="R8" s="25">
        <v>0</v>
      </c>
      <c r="S8" s="25">
        <v>0</v>
      </c>
      <c r="T8" s="31">
        <f t="shared" si="2"/>
        <v>0.5</v>
      </c>
      <c r="U8" s="25">
        <v>1</v>
      </c>
      <c r="V8" s="25">
        <v>0</v>
      </c>
      <c r="W8" s="25">
        <v>0</v>
      </c>
      <c r="X8" s="34">
        <f t="shared" si="3"/>
        <v>0.67</v>
      </c>
      <c r="Y8" s="20" t="s">
        <v>66</v>
      </c>
      <c r="Z8" s="20"/>
      <c r="AA8" s="17" t="s">
        <v>43</v>
      </c>
      <c r="AB8" s="25">
        <v>1</v>
      </c>
      <c r="AC8" s="25">
        <v>0</v>
      </c>
      <c r="AD8" s="25">
        <v>0</v>
      </c>
      <c r="AE8" s="16" t="s">
        <v>63</v>
      </c>
      <c r="AF8" s="17"/>
      <c r="AG8" s="17" t="s">
        <v>37</v>
      </c>
      <c r="AH8" s="25">
        <v>0</v>
      </c>
      <c r="AI8" s="25">
        <v>0</v>
      </c>
      <c r="AJ8" s="25">
        <v>1</v>
      </c>
    </row>
    <row r="9" ht="76" customHeight="1" spans="1:36">
      <c r="A9" s="14" t="s">
        <v>63</v>
      </c>
      <c r="B9" s="15">
        <v>81</v>
      </c>
      <c r="C9" s="15" t="s">
        <v>44</v>
      </c>
      <c r="D9" s="15" t="s">
        <v>45</v>
      </c>
      <c r="E9" s="15" t="s">
        <v>67</v>
      </c>
      <c r="F9" s="15" t="s">
        <v>55</v>
      </c>
      <c r="G9" s="19" t="s">
        <v>65</v>
      </c>
      <c r="H9" s="15" t="s">
        <v>47</v>
      </c>
      <c r="I9" s="23">
        <v>1</v>
      </c>
      <c r="J9" s="23">
        <v>0</v>
      </c>
      <c r="K9" s="24">
        <f t="shared" si="0"/>
        <v>0.5</v>
      </c>
      <c r="L9" s="23">
        <v>0</v>
      </c>
      <c r="M9" s="23">
        <v>0</v>
      </c>
      <c r="N9" s="23">
        <v>1</v>
      </c>
      <c r="O9" s="28">
        <f t="shared" si="1"/>
        <v>0.67</v>
      </c>
      <c r="P9" s="23">
        <v>1</v>
      </c>
      <c r="Q9" s="23">
        <v>0</v>
      </c>
      <c r="R9" s="23">
        <v>0</v>
      </c>
      <c r="S9" s="23">
        <v>0</v>
      </c>
      <c r="T9" s="30">
        <f t="shared" si="2"/>
        <v>0.75</v>
      </c>
      <c r="U9" s="23">
        <v>0</v>
      </c>
      <c r="V9" s="23">
        <v>0</v>
      </c>
      <c r="W9" s="23">
        <v>1</v>
      </c>
      <c r="X9" s="33">
        <f t="shared" si="3"/>
        <v>0.67</v>
      </c>
      <c r="Y9" s="19" t="s">
        <v>68</v>
      </c>
      <c r="Z9" s="19"/>
      <c r="AA9" s="15" t="s">
        <v>49</v>
      </c>
      <c r="AB9" s="23">
        <v>1</v>
      </c>
      <c r="AC9" s="23">
        <v>1</v>
      </c>
      <c r="AD9" s="23">
        <v>0.5</v>
      </c>
      <c r="AE9" s="14" t="s">
        <v>63</v>
      </c>
      <c r="AF9" s="15"/>
      <c r="AG9" s="15" t="s">
        <v>44</v>
      </c>
      <c r="AH9" s="23">
        <v>0</v>
      </c>
      <c r="AI9" s="23">
        <v>0</v>
      </c>
      <c r="AJ9" s="23">
        <v>0</v>
      </c>
    </row>
    <row r="10" ht="76" customHeight="1" spans="1:36">
      <c r="A10" s="14" t="s">
        <v>63</v>
      </c>
      <c r="B10" s="15">
        <v>142</v>
      </c>
      <c r="C10" s="15" t="s">
        <v>50</v>
      </c>
      <c r="D10" s="15" t="s">
        <v>51</v>
      </c>
      <c r="E10" s="15" t="s">
        <v>67</v>
      </c>
      <c r="F10" s="15" t="s">
        <v>55</v>
      </c>
      <c r="G10" s="19" t="s">
        <v>65</v>
      </c>
      <c r="H10" s="15" t="s">
        <v>47</v>
      </c>
      <c r="I10" s="23">
        <v>0</v>
      </c>
      <c r="J10" s="23">
        <v>1</v>
      </c>
      <c r="K10" s="24">
        <f t="shared" si="0"/>
        <v>0.5</v>
      </c>
      <c r="L10" s="23">
        <v>1</v>
      </c>
      <c r="M10" s="23">
        <v>0</v>
      </c>
      <c r="N10" s="23">
        <v>0</v>
      </c>
      <c r="O10" s="28">
        <f t="shared" si="1"/>
        <v>0.67</v>
      </c>
      <c r="P10" s="23">
        <v>1</v>
      </c>
      <c r="Q10" s="23">
        <v>1</v>
      </c>
      <c r="R10" s="23">
        <v>1</v>
      </c>
      <c r="S10" s="23">
        <v>0</v>
      </c>
      <c r="T10" s="30">
        <f t="shared" si="2"/>
        <v>0.25</v>
      </c>
      <c r="U10" s="23">
        <v>0</v>
      </c>
      <c r="V10" s="23">
        <v>0</v>
      </c>
      <c r="W10" s="23">
        <v>0</v>
      </c>
      <c r="X10" s="33">
        <f t="shared" si="3"/>
        <v>1</v>
      </c>
      <c r="Y10" s="19" t="s">
        <v>69</v>
      </c>
      <c r="Z10" s="19"/>
      <c r="AA10" s="15" t="s">
        <v>49</v>
      </c>
      <c r="AB10" s="23">
        <v>1</v>
      </c>
      <c r="AC10" s="23">
        <v>1</v>
      </c>
      <c r="AD10" s="23">
        <v>0</v>
      </c>
      <c r="AE10" s="14" t="s">
        <v>63</v>
      </c>
      <c r="AF10" s="15"/>
      <c r="AG10" s="15" t="s">
        <v>50</v>
      </c>
      <c r="AH10" s="23">
        <v>1</v>
      </c>
      <c r="AI10" s="23">
        <v>0</v>
      </c>
      <c r="AJ10" s="23">
        <v>0</v>
      </c>
    </row>
    <row r="11" ht="76" customHeight="1" spans="1:36">
      <c r="A11" s="16" t="s">
        <v>70</v>
      </c>
      <c r="B11" s="17">
        <v>18</v>
      </c>
      <c r="C11" s="17" t="s">
        <v>37</v>
      </c>
      <c r="D11" s="17" t="s">
        <v>37</v>
      </c>
      <c r="E11" s="17" t="s">
        <v>71</v>
      </c>
      <c r="F11" s="17" t="s">
        <v>72</v>
      </c>
      <c r="G11" s="20" t="s">
        <v>73</v>
      </c>
      <c r="H11" s="17" t="s">
        <v>41</v>
      </c>
      <c r="I11" s="25">
        <v>0</v>
      </c>
      <c r="J11" s="25">
        <v>0</v>
      </c>
      <c r="K11" s="26">
        <f t="shared" si="0"/>
        <v>1</v>
      </c>
      <c r="L11" s="25">
        <v>0</v>
      </c>
      <c r="M11" s="25">
        <v>0</v>
      </c>
      <c r="N11" s="25">
        <v>0</v>
      </c>
      <c r="O11" s="29">
        <f t="shared" si="1"/>
        <v>1</v>
      </c>
      <c r="P11" s="25">
        <v>1</v>
      </c>
      <c r="Q11" s="25">
        <v>0</v>
      </c>
      <c r="R11" s="25">
        <v>0</v>
      </c>
      <c r="S11" s="25">
        <v>0</v>
      </c>
      <c r="T11" s="31">
        <f t="shared" si="2"/>
        <v>0.75</v>
      </c>
      <c r="U11" s="25">
        <v>0</v>
      </c>
      <c r="V11" s="25">
        <v>0</v>
      </c>
      <c r="W11" s="25">
        <v>0</v>
      </c>
      <c r="X11" s="34">
        <f t="shared" si="3"/>
        <v>1</v>
      </c>
      <c r="Y11" s="20" t="s">
        <v>74</v>
      </c>
      <c r="Z11" s="20" t="s">
        <v>75</v>
      </c>
      <c r="AA11" s="17" t="s">
        <v>43</v>
      </c>
      <c r="AB11" s="25">
        <v>0</v>
      </c>
      <c r="AC11" s="25">
        <v>0</v>
      </c>
      <c r="AD11" s="25">
        <v>1</v>
      </c>
      <c r="AE11" s="16" t="s">
        <v>70</v>
      </c>
      <c r="AF11" s="17"/>
      <c r="AG11" s="17" t="s">
        <v>37</v>
      </c>
      <c r="AH11" s="25">
        <v>0</v>
      </c>
      <c r="AI11" s="25">
        <v>0</v>
      </c>
      <c r="AJ11" s="25">
        <v>1</v>
      </c>
    </row>
    <row r="12" ht="76" customHeight="1" spans="1:36">
      <c r="A12" s="14" t="s">
        <v>70</v>
      </c>
      <c r="B12" s="15">
        <v>86</v>
      </c>
      <c r="C12" s="15" t="s">
        <v>44</v>
      </c>
      <c r="D12" s="15" t="s">
        <v>45</v>
      </c>
      <c r="E12" s="15" t="s">
        <v>76</v>
      </c>
      <c r="F12" s="15" t="s">
        <v>72</v>
      </c>
      <c r="G12" s="19" t="s">
        <v>73</v>
      </c>
      <c r="H12" s="15" t="s">
        <v>59</v>
      </c>
      <c r="I12" s="23">
        <v>0</v>
      </c>
      <c r="J12" s="23">
        <v>0</v>
      </c>
      <c r="K12" s="24">
        <f t="shared" si="0"/>
        <v>1</v>
      </c>
      <c r="L12" s="23">
        <v>0</v>
      </c>
      <c r="M12" s="23">
        <v>1</v>
      </c>
      <c r="N12" s="23">
        <v>0</v>
      </c>
      <c r="O12" s="28">
        <f t="shared" si="1"/>
        <v>0.67</v>
      </c>
      <c r="P12" s="23">
        <v>1</v>
      </c>
      <c r="Q12" s="23">
        <v>0</v>
      </c>
      <c r="R12" s="23">
        <v>0</v>
      </c>
      <c r="S12" s="23">
        <v>1</v>
      </c>
      <c r="T12" s="30">
        <f t="shared" si="2"/>
        <v>0.5</v>
      </c>
      <c r="U12" s="23">
        <v>0</v>
      </c>
      <c r="V12" s="23">
        <v>0</v>
      </c>
      <c r="W12" s="23">
        <v>0</v>
      </c>
      <c r="X12" s="33">
        <f t="shared" si="3"/>
        <v>1</v>
      </c>
      <c r="Y12" s="19" t="s">
        <v>77</v>
      </c>
      <c r="Z12" s="19"/>
      <c r="AA12" s="15" t="s">
        <v>49</v>
      </c>
      <c r="AB12" s="23">
        <v>1</v>
      </c>
      <c r="AC12" s="23">
        <v>1</v>
      </c>
      <c r="AD12" s="23">
        <v>1</v>
      </c>
      <c r="AE12" s="14" t="s">
        <v>70</v>
      </c>
      <c r="AF12" s="15"/>
      <c r="AG12" s="15" t="s">
        <v>44</v>
      </c>
      <c r="AH12" s="23">
        <v>0</v>
      </c>
      <c r="AI12" s="23">
        <v>0</v>
      </c>
      <c r="AJ12" s="23">
        <v>0</v>
      </c>
    </row>
    <row r="13" ht="76" customHeight="1" spans="1:36">
      <c r="A13" s="14" t="s">
        <v>70</v>
      </c>
      <c r="B13" s="15">
        <v>147</v>
      </c>
      <c r="C13" s="15" t="s">
        <v>50</v>
      </c>
      <c r="D13" s="15" t="s">
        <v>51</v>
      </c>
      <c r="E13" s="15" t="s">
        <v>76</v>
      </c>
      <c r="F13" s="15" t="s">
        <v>72</v>
      </c>
      <c r="G13" s="19" t="s">
        <v>73</v>
      </c>
      <c r="H13" s="15" t="s">
        <v>47</v>
      </c>
      <c r="I13" s="23">
        <v>0</v>
      </c>
      <c r="J13" s="23">
        <v>1</v>
      </c>
      <c r="K13" s="24">
        <f t="shared" si="0"/>
        <v>0.5</v>
      </c>
      <c r="L13" s="23">
        <v>0</v>
      </c>
      <c r="M13" s="23">
        <v>1</v>
      </c>
      <c r="N13" s="23">
        <v>0</v>
      </c>
      <c r="O13" s="28">
        <f t="shared" si="1"/>
        <v>0.67</v>
      </c>
      <c r="P13" s="23">
        <v>1</v>
      </c>
      <c r="Q13" s="23">
        <v>1</v>
      </c>
      <c r="R13" s="23">
        <v>0</v>
      </c>
      <c r="S13" s="23">
        <v>1</v>
      </c>
      <c r="T13" s="30">
        <f t="shared" si="2"/>
        <v>0.25</v>
      </c>
      <c r="U13" s="23">
        <v>0</v>
      </c>
      <c r="V13" s="23">
        <v>0</v>
      </c>
      <c r="W13" s="23">
        <v>0</v>
      </c>
      <c r="X13" s="33">
        <f t="shared" si="3"/>
        <v>1</v>
      </c>
      <c r="Y13" s="19" t="s">
        <v>78</v>
      </c>
      <c r="Z13" s="19"/>
      <c r="AA13" s="15" t="s">
        <v>49</v>
      </c>
      <c r="AB13" s="23">
        <v>0.5</v>
      </c>
      <c r="AC13" s="23">
        <v>1</v>
      </c>
      <c r="AD13" s="23">
        <v>0</v>
      </c>
      <c r="AE13" s="14" t="s">
        <v>70</v>
      </c>
      <c r="AF13" s="15"/>
      <c r="AG13" s="15" t="s">
        <v>50</v>
      </c>
      <c r="AH13" s="23">
        <v>1</v>
      </c>
      <c r="AI13" s="23">
        <v>1</v>
      </c>
      <c r="AJ13" s="23">
        <v>0</v>
      </c>
    </row>
    <row r="14" ht="76" customHeight="1" spans="1:36">
      <c r="A14" s="16" t="s">
        <v>79</v>
      </c>
      <c r="B14" s="17">
        <v>24</v>
      </c>
      <c r="C14" s="17" t="s">
        <v>37</v>
      </c>
      <c r="D14" s="17" t="s">
        <v>37</v>
      </c>
      <c r="E14" s="17" t="s">
        <v>80</v>
      </c>
      <c r="F14" s="17" t="s">
        <v>72</v>
      </c>
      <c r="G14" s="20" t="s">
        <v>81</v>
      </c>
      <c r="H14" s="17" t="s">
        <v>41</v>
      </c>
      <c r="I14" s="25">
        <v>0</v>
      </c>
      <c r="J14" s="25">
        <v>0</v>
      </c>
      <c r="K14" s="26">
        <f t="shared" si="0"/>
        <v>1</v>
      </c>
      <c r="L14" s="25">
        <v>0</v>
      </c>
      <c r="M14" s="25">
        <v>0</v>
      </c>
      <c r="N14" s="25">
        <v>0</v>
      </c>
      <c r="O14" s="29">
        <f t="shared" si="1"/>
        <v>1</v>
      </c>
      <c r="P14" s="25">
        <v>1</v>
      </c>
      <c r="Q14" s="25">
        <v>0</v>
      </c>
      <c r="R14" s="25">
        <v>0</v>
      </c>
      <c r="S14" s="25">
        <v>0</v>
      </c>
      <c r="T14" s="31">
        <f t="shared" si="2"/>
        <v>0.75</v>
      </c>
      <c r="U14" s="25">
        <v>0</v>
      </c>
      <c r="V14" s="25">
        <v>0</v>
      </c>
      <c r="W14" s="25">
        <v>0</v>
      </c>
      <c r="X14" s="34">
        <f t="shared" si="3"/>
        <v>1</v>
      </c>
      <c r="Y14" s="20" t="s">
        <v>74</v>
      </c>
      <c r="Z14" s="20"/>
      <c r="AA14" s="17" t="s">
        <v>43</v>
      </c>
      <c r="AB14" s="25">
        <v>0</v>
      </c>
      <c r="AC14" s="25">
        <v>0</v>
      </c>
      <c r="AD14" s="25">
        <v>0.5</v>
      </c>
      <c r="AE14" s="16" t="s">
        <v>79</v>
      </c>
      <c r="AF14" s="17"/>
      <c r="AG14" s="17" t="s">
        <v>37</v>
      </c>
      <c r="AH14" s="25">
        <v>0</v>
      </c>
      <c r="AI14" s="25">
        <v>0</v>
      </c>
      <c r="AJ14" s="25">
        <v>1</v>
      </c>
    </row>
    <row r="15" ht="76" customHeight="1" spans="1:36">
      <c r="A15" s="14" t="s">
        <v>79</v>
      </c>
      <c r="B15" s="15">
        <v>90</v>
      </c>
      <c r="C15" s="15" t="s">
        <v>44</v>
      </c>
      <c r="D15" s="15" t="s">
        <v>45</v>
      </c>
      <c r="E15" s="15" t="s">
        <v>82</v>
      </c>
      <c r="F15" s="15" t="s">
        <v>72</v>
      </c>
      <c r="G15" s="19" t="s">
        <v>81</v>
      </c>
      <c r="H15" s="15" t="s">
        <v>47</v>
      </c>
      <c r="I15" s="23">
        <v>1</v>
      </c>
      <c r="J15" s="23">
        <v>0</v>
      </c>
      <c r="K15" s="24">
        <f t="shared" si="0"/>
        <v>0.5</v>
      </c>
      <c r="L15" s="23">
        <v>0</v>
      </c>
      <c r="M15" s="23">
        <v>0</v>
      </c>
      <c r="N15" s="23">
        <v>0</v>
      </c>
      <c r="O15" s="28">
        <f t="shared" si="1"/>
        <v>1</v>
      </c>
      <c r="P15" s="23">
        <v>0</v>
      </c>
      <c r="Q15" s="23">
        <v>0</v>
      </c>
      <c r="R15" s="23">
        <v>0</v>
      </c>
      <c r="S15" s="23">
        <v>1</v>
      </c>
      <c r="T15" s="30">
        <f t="shared" si="2"/>
        <v>0.75</v>
      </c>
      <c r="U15" s="23">
        <v>0</v>
      </c>
      <c r="V15" s="23">
        <v>0</v>
      </c>
      <c r="W15" s="23">
        <v>0</v>
      </c>
      <c r="X15" s="33">
        <f t="shared" si="3"/>
        <v>1</v>
      </c>
      <c r="Y15" s="19" t="s">
        <v>83</v>
      </c>
      <c r="Z15" s="19"/>
      <c r="AA15" s="15" t="s">
        <v>49</v>
      </c>
      <c r="AB15" s="23">
        <v>0</v>
      </c>
      <c r="AC15" s="23">
        <v>1</v>
      </c>
      <c r="AD15" s="23">
        <v>1</v>
      </c>
      <c r="AE15" s="14" t="s">
        <v>79</v>
      </c>
      <c r="AF15" s="15"/>
      <c r="AG15" s="15" t="s">
        <v>44</v>
      </c>
      <c r="AH15" s="23">
        <v>0</v>
      </c>
      <c r="AI15" s="23">
        <v>0</v>
      </c>
      <c r="AJ15" s="23">
        <v>0</v>
      </c>
    </row>
    <row r="16" ht="76" customHeight="1" spans="1:36">
      <c r="A16" s="14" t="s">
        <v>79</v>
      </c>
      <c r="B16" s="15">
        <v>153</v>
      </c>
      <c r="C16" s="15" t="s">
        <v>50</v>
      </c>
      <c r="D16" s="15" t="s">
        <v>51</v>
      </c>
      <c r="E16" s="15" t="s">
        <v>82</v>
      </c>
      <c r="F16" s="15" t="s">
        <v>72</v>
      </c>
      <c r="G16" s="19" t="s">
        <v>81</v>
      </c>
      <c r="H16" s="15" t="s">
        <v>47</v>
      </c>
      <c r="I16" s="23">
        <v>0</v>
      </c>
      <c r="J16" s="23">
        <v>1</v>
      </c>
      <c r="K16" s="24">
        <f t="shared" si="0"/>
        <v>0.5</v>
      </c>
      <c r="L16" s="23">
        <v>0</v>
      </c>
      <c r="M16" s="23">
        <v>0</v>
      </c>
      <c r="N16" s="23">
        <v>0</v>
      </c>
      <c r="O16" s="28">
        <f t="shared" si="1"/>
        <v>1</v>
      </c>
      <c r="P16" s="23">
        <v>1</v>
      </c>
      <c r="Q16" s="23">
        <v>0</v>
      </c>
      <c r="R16" s="23">
        <v>0</v>
      </c>
      <c r="S16" s="23">
        <v>0</v>
      </c>
      <c r="T16" s="30">
        <f t="shared" si="2"/>
        <v>0.75</v>
      </c>
      <c r="U16" s="23">
        <v>0</v>
      </c>
      <c r="V16" s="23">
        <v>0</v>
      </c>
      <c r="W16" s="23">
        <v>0</v>
      </c>
      <c r="X16" s="33">
        <f t="shared" si="3"/>
        <v>1</v>
      </c>
      <c r="Y16" s="19" t="s">
        <v>84</v>
      </c>
      <c r="Z16" s="19"/>
      <c r="AA16" s="15" t="s">
        <v>49</v>
      </c>
      <c r="AB16" s="23">
        <v>1</v>
      </c>
      <c r="AC16" s="23">
        <v>1</v>
      </c>
      <c r="AD16" s="23">
        <v>0</v>
      </c>
      <c r="AE16" s="14" t="s">
        <v>79</v>
      </c>
      <c r="AF16" s="15"/>
      <c r="AG16" s="15" t="s">
        <v>50</v>
      </c>
      <c r="AH16" s="23">
        <v>1</v>
      </c>
      <c r="AI16" s="23">
        <v>1</v>
      </c>
      <c r="AJ16" s="23">
        <v>0</v>
      </c>
    </row>
    <row r="17" ht="76" customHeight="1" spans="1:36">
      <c r="A17" s="16" t="s">
        <v>85</v>
      </c>
      <c r="B17" s="17">
        <v>28</v>
      </c>
      <c r="C17" s="17" t="s">
        <v>37</v>
      </c>
      <c r="D17" s="17" t="s">
        <v>37</v>
      </c>
      <c r="E17" s="17" t="s">
        <v>86</v>
      </c>
      <c r="F17" s="17" t="s">
        <v>87</v>
      </c>
      <c r="G17" s="20" t="s">
        <v>88</v>
      </c>
      <c r="H17" s="17" t="s">
        <v>41</v>
      </c>
      <c r="I17" s="25">
        <v>0</v>
      </c>
      <c r="J17" s="25">
        <v>0</v>
      </c>
      <c r="K17" s="26">
        <f t="shared" si="0"/>
        <v>1</v>
      </c>
      <c r="L17" s="25">
        <v>0</v>
      </c>
      <c r="M17" s="25">
        <v>0</v>
      </c>
      <c r="N17" s="25">
        <v>0</v>
      </c>
      <c r="O17" s="29">
        <f t="shared" si="1"/>
        <v>1</v>
      </c>
      <c r="P17" s="25">
        <v>1</v>
      </c>
      <c r="Q17" s="25">
        <v>1</v>
      </c>
      <c r="R17" s="25">
        <v>0</v>
      </c>
      <c r="S17" s="25">
        <v>0</v>
      </c>
      <c r="T17" s="31">
        <f t="shared" si="2"/>
        <v>0.5</v>
      </c>
      <c r="U17" s="25">
        <v>0</v>
      </c>
      <c r="V17" s="25">
        <v>0</v>
      </c>
      <c r="W17" s="25">
        <v>0</v>
      </c>
      <c r="X17" s="34">
        <f t="shared" si="3"/>
        <v>1</v>
      </c>
      <c r="Y17" s="20" t="s">
        <v>89</v>
      </c>
      <c r="Z17" s="20"/>
      <c r="AA17" s="17" t="s">
        <v>43</v>
      </c>
      <c r="AB17" s="25">
        <v>0.5</v>
      </c>
      <c r="AC17" s="25">
        <v>0</v>
      </c>
      <c r="AD17" s="25">
        <v>0</v>
      </c>
      <c r="AE17" s="16" t="s">
        <v>85</v>
      </c>
      <c r="AF17" s="17"/>
      <c r="AG17" s="17" t="s">
        <v>37</v>
      </c>
      <c r="AH17" s="25">
        <v>0</v>
      </c>
      <c r="AI17" s="25">
        <v>0</v>
      </c>
      <c r="AJ17" s="25">
        <v>1</v>
      </c>
    </row>
    <row r="18" ht="76" customHeight="1" spans="1:36">
      <c r="A18" s="14" t="s">
        <v>85</v>
      </c>
      <c r="B18" s="15">
        <v>94</v>
      </c>
      <c r="C18" s="15" t="s">
        <v>44</v>
      </c>
      <c r="D18" s="15" t="s">
        <v>45</v>
      </c>
      <c r="E18" s="15" t="s">
        <v>90</v>
      </c>
      <c r="F18" s="15" t="s">
        <v>87</v>
      </c>
      <c r="G18" s="19" t="s">
        <v>88</v>
      </c>
      <c r="H18" s="15" t="s">
        <v>47</v>
      </c>
      <c r="I18" s="23">
        <v>1</v>
      </c>
      <c r="J18" s="23">
        <v>0</v>
      </c>
      <c r="K18" s="24">
        <f t="shared" si="0"/>
        <v>0.5</v>
      </c>
      <c r="L18" s="23">
        <v>0</v>
      </c>
      <c r="M18" s="23">
        <v>0</v>
      </c>
      <c r="N18" s="23">
        <v>0</v>
      </c>
      <c r="O18" s="28">
        <f t="shared" si="1"/>
        <v>1</v>
      </c>
      <c r="P18" s="23">
        <v>1</v>
      </c>
      <c r="Q18" s="23">
        <v>1</v>
      </c>
      <c r="R18" s="23">
        <v>0</v>
      </c>
      <c r="S18" s="23">
        <v>0</v>
      </c>
      <c r="T18" s="30">
        <f t="shared" si="2"/>
        <v>0.5</v>
      </c>
      <c r="U18" s="23">
        <v>0</v>
      </c>
      <c r="V18" s="23">
        <v>0</v>
      </c>
      <c r="W18" s="23">
        <v>0</v>
      </c>
      <c r="X18" s="33">
        <f t="shared" si="3"/>
        <v>1</v>
      </c>
      <c r="Y18" s="19" t="s">
        <v>91</v>
      </c>
      <c r="Z18" s="19"/>
      <c r="AA18" s="15" t="s">
        <v>61</v>
      </c>
      <c r="AB18" s="23">
        <v>1</v>
      </c>
      <c r="AC18" s="23">
        <v>1</v>
      </c>
      <c r="AD18" s="23">
        <v>1</v>
      </c>
      <c r="AE18" s="14" t="s">
        <v>85</v>
      </c>
      <c r="AF18" s="15"/>
      <c r="AG18" s="15" t="s">
        <v>44</v>
      </c>
      <c r="AH18" s="23">
        <v>0</v>
      </c>
      <c r="AI18" s="23">
        <v>1</v>
      </c>
      <c r="AJ18" s="23">
        <v>0</v>
      </c>
    </row>
    <row r="19" ht="76" customHeight="1" spans="1:36">
      <c r="A19" s="14" t="s">
        <v>85</v>
      </c>
      <c r="B19" s="15">
        <v>157</v>
      </c>
      <c r="C19" s="15" t="s">
        <v>50</v>
      </c>
      <c r="D19" s="15" t="s">
        <v>51</v>
      </c>
      <c r="E19" s="15" t="s">
        <v>90</v>
      </c>
      <c r="F19" s="15" t="s">
        <v>87</v>
      </c>
      <c r="G19" s="19" t="s">
        <v>88</v>
      </c>
      <c r="H19" s="15" t="s">
        <v>47</v>
      </c>
      <c r="I19" s="23">
        <v>1</v>
      </c>
      <c r="J19" s="23">
        <v>0</v>
      </c>
      <c r="K19" s="24">
        <f t="shared" si="0"/>
        <v>0.5</v>
      </c>
      <c r="L19" s="23">
        <v>1</v>
      </c>
      <c r="M19" s="23">
        <v>1</v>
      </c>
      <c r="N19" s="23">
        <v>0</v>
      </c>
      <c r="O19" s="28">
        <f t="shared" si="1"/>
        <v>0.33</v>
      </c>
      <c r="P19" s="23">
        <v>0</v>
      </c>
      <c r="Q19" s="23">
        <v>0</v>
      </c>
      <c r="R19" s="23">
        <v>0</v>
      </c>
      <c r="S19" s="23">
        <v>0</v>
      </c>
      <c r="T19" s="30">
        <f t="shared" si="2"/>
        <v>1</v>
      </c>
      <c r="U19" s="23">
        <v>0</v>
      </c>
      <c r="V19" s="23">
        <v>0</v>
      </c>
      <c r="W19" s="23">
        <v>0</v>
      </c>
      <c r="X19" s="33">
        <f t="shared" si="3"/>
        <v>1</v>
      </c>
      <c r="Y19" s="19" t="s">
        <v>92</v>
      </c>
      <c r="Z19" s="19"/>
      <c r="AA19" s="15" t="s">
        <v>49</v>
      </c>
      <c r="AB19" s="23">
        <v>0.5</v>
      </c>
      <c r="AC19" s="23">
        <v>1</v>
      </c>
      <c r="AD19" s="23">
        <v>0</v>
      </c>
      <c r="AE19" s="14" t="s">
        <v>85</v>
      </c>
      <c r="AF19" s="15"/>
      <c r="AG19" s="15" t="s">
        <v>50</v>
      </c>
      <c r="AH19" s="23">
        <v>0</v>
      </c>
      <c r="AI19" s="23">
        <v>0</v>
      </c>
      <c r="AJ19" s="23">
        <v>0</v>
      </c>
    </row>
    <row r="20" ht="76" customHeight="1" spans="1:36">
      <c r="A20" s="16" t="s">
        <v>93</v>
      </c>
      <c r="B20" s="17">
        <v>33</v>
      </c>
      <c r="C20" s="17" t="s">
        <v>37</v>
      </c>
      <c r="D20" s="17" t="s">
        <v>37</v>
      </c>
      <c r="E20" s="17" t="s">
        <v>94</v>
      </c>
      <c r="F20" s="17" t="s">
        <v>87</v>
      </c>
      <c r="G20" s="20" t="s">
        <v>95</v>
      </c>
      <c r="H20" s="17" t="s">
        <v>47</v>
      </c>
      <c r="I20" s="25">
        <v>0</v>
      </c>
      <c r="J20" s="25">
        <v>1</v>
      </c>
      <c r="K20" s="26">
        <f t="shared" si="0"/>
        <v>0.5</v>
      </c>
      <c r="L20" s="25">
        <v>0</v>
      </c>
      <c r="M20" s="25">
        <v>0</v>
      </c>
      <c r="N20" s="25">
        <v>0</v>
      </c>
      <c r="O20" s="29">
        <f t="shared" si="1"/>
        <v>1</v>
      </c>
      <c r="P20" s="25">
        <v>1</v>
      </c>
      <c r="Q20" s="25">
        <v>0</v>
      </c>
      <c r="R20" s="25">
        <v>1</v>
      </c>
      <c r="S20" s="25">
        <v>0</v>
      </c>
      <c r="T20" s="31">
        <f t="shared" si="2"/>
        <v>0.5</v>
      </c>
      <c r="U20" s="25">
        <v>0</v>
      </c>
      <c r="V20" s="25">
        <v>0</v>
      </c>
      <c r="W20" s="25">
        <v>0</v>
      </c>
      <c r="X20" s="34">
        <f t="shared" si="3"/>
        <v>1</v>
      </c>
      <c r="Y20" s="20" t="s">
        <v>96</v>
      </c>
      <c r="Z20" s="20"/>
      <c r="AA20" s="17" t="s">
        <v>49</v>
      </c>
      <c r="AB20" s="25">
        <v>0.5</v>
      </c>
      <c r="AC20" s="25">
        <v>0</v>
      </c>
      <c r="AD20" s="25" t="s">
        <v>97</v>
      </c>
      <c r="AE20" s="16" t="s">
        <v>93</v>
      </c>
      <c r="AF20" s="17"/>
      <c r="AG20" s="17" t="s">
        <v>37</v>
      </c>
      <c r="AH20" s="25">
        <v>0</v>
      </c>
      <c r="AI20" s="25">
        <v>0</v>
      </c>
      <c r="AJ20" s="25">
        <v>0</v>
      </c>
    </row>
    <row r="21" ht="76" customHeight="1" spans="1:36">
      <c r="A21" s="14" t="s">
        <v>93</v>
      </c>
      <c r="B21" s="15">
        <v>99</v>
      </c>
      <c r="C21" s="15" t="s">
        <v>44</v>
      </c>
      <c r="D21" s="15" t="s">
        <v>45</v>
      </c>
      <c r="E21" s="15" t="s">
        <v>98</v>
      </c>
      <c r="F21" s="15" t="s">
        <v>87</v>
      </c>
      <c r="G21" s="19" t="s">
        <v>95</v>
      </c>
      <c r="H21" s="15" t="s">
        <v>47</v>
      </c>
      <c r="I21" s="23">
        <v>0</v>
      </c>
      <c r="J21" s="23">
        <v>1</v>
      </c>
      <c r="K21" s="24">
        <f t="shared" si="0"/>
        <v>0.5</v>
      </c>
      <c r="L21" s="23">
        <v>0</v>
      </c>
      <c r="M21" s="23">
        <v>0</v>
      </c>
      <c r="N21" s="23">
        <v>0</v>
      </c>
      <c r="O21" s="28">
        <f t="shared" si="1"/>
        <v>1</v>
      </c>
      <c r="P21" s="23">
        <v>1</v>
      </c>
      <c r="Q21" s="23">
        <v>1</v>
      </c>
      <c r="R21" s="23">
        <v>0</v>
      </c>
      <c r="S21" s="23">
        <v>1</v>
      </c>
      <c r="T21" s="30">
        <f t="shared" si="2"/>
        <v>0.25</v>
      </c>
      <c r="U21" s="23">
        <v>0</v>
      </c>
      <c r="V21" s="23">
        <v>0</v>
      </c>
      <c r="W21" s="23">
        <v>0</v>
      </c>
      <c r="X21" s="33">
        <f t="shared" si="3"/>
        <v>1</v>
      </c>
      <c r="Y21" s="19" t="s">
        <v>99</v>
      </c>
      <c r="Z21" s="19"/>
      <c r="AA21" s="15" t="s">
        <v>49</v>
      </c>
      <c r="AB21" s="23">
        <v>1</v>
      </c>
      <c r="AC21" s="23">
        <v>1</v>
      </c>
      <c r="AD21" s="23">
        <v>0</v>
      </c>
      <c r="AE21" s="14" t="s">
        <v>93</v>
      </c>
      <c r="AF21" s="15"/>
      <c r="AG21" s="15" t="s">
        <v>44</v>
      </c>
      <c r="AH21" s="23">
        <v>0</v>
      </c>
      <c r="AI21" s="23">
        <v>1</v>
      </c>
      <c r="AJ21" s="23">
        <v>0</v>
      </c>
    </row>
    <row r="22" ht="76" customHeight="1" spans="1:36">
      <c r="A22" s="14" t="s">
        <v>93</v>
      </c>
      <c r="B22" s="15">
        <v>162</v>
      </c>
      <c r="C22" s="15" t="s">
        <v>50</v>
      </c>
      <c r="D22" s="15" t="s">
        <v>51</v>
      </c>
      <c r="E22" s="15" t="s">
        <v>98</v>
      </c>
      <c r="F22" s="15" t="s">
        <v>87</v>
      </c>
      <c r="G22" s="19" t="s">
        <v>95</v>
      </c>
      <c r="H22" s="15" t="s">
        <v>47</v>
      </c>
      <c r="I22" s="23">
        <v>1</v>
      </c>
      <c r="J22" s="23">
        <v>1</v>
      </c>
      <c r="K22" s="24">
        <f t="shared" si="0"/>
        <v>0</v>
      </c>
      <c r="L22" s="23">
        <v>0</v>
      </c>
      <c r="M22" s="23">
        <v>0</v>
      </c>
      <c r="N22" s="23">
        <v>0</v>
      </c>
      <c r="O22" s="28">
        <f t="shared" si="1"/>
        <v>1</v>
      </c>
      <c r="P22" s="23">
        <v>1</v>
      </c>
      <c r="Q22" s="23">
        <v>0</v>
      </c>
      <c r="R22" s="23">
        <v>0</v>
      </c>
      <c r="S22" s="23">
        <v>0</v>
      </c>
      <c r="T22" s="30">
        <f t="shared" si="2"/>
        <v>0.75</v>
      </c>
      <c r="U22" s="23">
        <v>0</v>
      </c>
      <c r="V22" s="23">
        <v>0</v>
      </c>
      <c r="W22" s="23">
        <v>0</v>
      </c>
      <c r="X22" s="33">
        <f t="shared" si="3"/>
        <v>1</v>
      </c>
      <c r="Y22" s="19" t="s">
        <v>100</v>
      </c>
      <c r="Z22" s="19"/>
      <c r="AA22" s="15" t="s">
        <v>49</v>
      </c>
      <c r="AB22" s="23">
        <v>0</v>
      </c>
      <c r="AC22" s="23">
        <v>0</v>
      </c>
      <c r="AD22" s="23">
        <v>0</v>
      </c>
      <c r="AE22" s="14" t="s">
        <v>93</v>
      </c>
      <c r="AF22" s="15"/>
      <c r="AG22" s="15" t="s">
        <v>50</v>
      </c>
      <c r="AH22" s="23">
        <v>0</v>
      </c>
      <c r="AI22" s="23">
        <v>1</v>
      </c>
      <c r="AJ22" s="23">
        <v>0</v>
      </c>
    </row>
    <row r="23" ht="76" customHeight="1" spans="1:36">
      <c r="A23" s="16" t="s">
        <v>101</v>
      </c>
      <c r="B23" s="17">
        <v>38</v>
      </c>
      <c r="C23" s="17" t="s">
        <v>37</v>
      </c>
      <c r="D23" s="17" t="s">
        <v>37</v>
      </c>
      <c r="E23" s="17" t="s">
        <v>102</v>
      </c>
      <c r="F23" s="17" t="s">
        <v>103</v>
      </c>
      <c r="G23" s="20" t="s">
        <v>104</v>
      </c>
      <c r="H23" s="17" t="s">
        <v>59</v>
      </c>
      <c r="I23" s="25">
        <v>0</v>
      </c>
      <c r="J23" s="25">
        <v>1</v>
      </c>
      <c r="K23" s="26">
        <f t="shared" si="0"/>
        <v>0.5</v>
      </c>
      <c r="L23" s="25">
        <v>0</v>
      </c>
      <c r="M23" s="25">
        <v>0</v>
      </c>
      <c r="N23" s="25">
        <v>0</v>
      </c>
      <c r="O23" s="29">
        <f t="shared" si="1"/>
        <v>1</v>
      </c>
      <c r="P23" s="25">
        <v>1</v>
      </c>
      <c r="Q23" s="25">
        <v>0</v>
      </c>
      <c r="R23" s="25">
        <v>0</v>
      </c>
      <c r="S23" s="25">
        <v>1</v>
      </c>
      <c r="T23" s="31">
        <f t="shared" si="2"/>
        <v>0.5</v>
      </c>
      <c r="U23" s="25">
        <v>0</v>
      </c>
      <c r="V23" s="25">
        <v>0</v>
      </c>
      <c r="W23" s="25">
        <v>0</v>
      </c>
      <c r="X23" s="34">
        <f t="shared" si="3"/>
        <v>1</v>
      </c>
      <c r="Y23" s="20" t="s">
        <v>105</v>
      </c>
      <c r="Z23" s="20"/>
      <c r="AA23" s="17" t="s">
        <v>49</v>
      </c>
      <c r="AB23" s="25">
        <v>1</v>
      </c>
      <c r="AC23" s="25">
        <v>0.5</v>
      </c>
      <c r="AD23" s="25">
        <v>0.5</v>
      </c>
      <c r="AE23" s="16" t="s">
        <v>101</v>
      </c>
      <c r="AF23" s="17"/>
      <c r="AG23" s="17" t="s">
        <v>37</v>
      </c>
      <c r="AH23" s="25">
        <v>0</v>
      </c>
      <c r="AI23" s="25">
        <v>1</v>
      </c>
      <c r="AJ23" s="25">
        <v>0</v>
      </c>
    </row>
    <row r="24" ht="76" customHeight="1" spans="1:36">
      <c r="A24" s="14" t="s">
        <v>101</v>
      </c>
      <c r="B24" s="15">
        <v>104</v>
      </c>
      <c r="C24" s="15" t="s">
        <v>44</v>
      </c>
      <c r="D24" s="15" t="s">
        <v>45</v>
      </c>
      <c r="E24" s="15" t="s">
        <v>106</v>
      </c>
      <c r="F24" s="15" t="s">
        <v>103</v>
      </c>
      <c r="G24" s="19" t="s">
        <v>104</v>
      </c>
      <c r="H24" s="15" t="s">
        <v>47</v>
      </c>
      <c r="I24" s="23">
        <v>1</v>
      </c>
      <c r="J24" s="23">
        <v>0</v>
      </c>
      <c r="K24" s="24">
        <f t="shared" si="0"/>
        <v>0.5</v>
      </c>
      <c r="L24" s="23">
        <v>0</v>
      </c>
      <c r="M24" s="23">
        <v>0</v>
      </c>
      <c r="N24" s="23">
        <v>0</v>
      </c>
      <c r="O24" s="28">
        <f t="shared" si="1"/>
        <v>1</v>
      </c>
      <c r="P24" s="23">
        <v>1</v>
      </c>
      <c r="Q24" s="23">
        <v>0</v>
      </c>
      <c r="R24" s="23">
        <v>0</v>
      </c>
      <c r="S24" s="23">
        <v>0</v>
      </c>
      <c r="T24" s="30">
        <f t="shared" si="2"/>
        <v>0.75</v>
      </c>
      <c r="U24" s="23">
        <v>0</v>
      </c>
      <c r="V24" s="23">
        <v>0</v>
      </c>
      <c r="W24" s="23">
        <v>0</v>
      </c>
      <c r="X24" s="33">
        <f t="shared" si="3"/>
        <v>1</v>
      </c>
      <c r="Y24" s="19" t="s">
        <v>107</v>
      </c>
      <c r="Z24" s="19"/>
      <c r="AA24" s="15" t="s">
        <v>49</v>
      </c>
      <c r="AB24" s="23">
        <v>1</v>
      </c>
      <c r="AC24" s="23">
        <v>0.5</v>
      </c>
      <c r="AD24" s="23">
        <v>1</v>
      </c>
      <c r="AE24" s="14" t="s">
        <v>101</v>
      </c>
      <c r="AF24" s="15"/>
      <c r="AG24" s="15" t="s">
        <v>44</v>
      </c>
      <c r="AH24" s="23">
        <v>0</v>
      </c>
      <c r="AI24" s="23">
        <v>0</v>
      </c>
      <c r="AJ24" s="23">
        <v>0</v>
      </c>
    </row>
    <row r="25" ht="76" customHeight="1" spans="1:36">
      <c r="A25" s="14" t="s">
        <v>101</v>
      </c>
      <c r="B25" s="15">
        <v>167</v>
      </c>
      <c r="C25" s="15" t="s">
        <v>50</v>
      </c>
      <c r="D25" s="15" t="s">
        <v>51</v>
      </c>
      <c r="E25" s="15" t="s">
        <v>106</v>
      </c>
      <c r="F25" s="15" t="s">
        <v>103</v>
      </c>
      <c r="G25" s="19" t="s">
        <v>104</v>
      </c>
      <c r="H25" s="15" t="s">
        <v>41</v>
      </c>
      <c r="I25" s="23">
        <v>0</v>
      </c>
      <c r="J25" s="23">
        <v>0</v>
      </c>
      <c r="K25" s="24">
        <f t="shared" si="0"/>
        <v>1</v>
      </c>
      <c r="L25" s="23">
        <v>0</v>
      </c>
      <c r="M25" s="23">
        <v>0</v>
      </c>
      <c r="N25" s="23">
        <v>0</v>
      </c>
      <c r="O25" s="28">
        <f t="shared" si="1"/>
        <v>1</v>
      </c>
      <c r="P25" s="23">
        <v>0</v>
      </c>
      <c r="Q25" s="23">
        <v>0</v>
      </c>
      <c r="R25" s="23">
        <v>0</v>
      </c>
      <c r="S25" s="23">
        <v>0</v>
      </c>
      <c r="T25" s="30">
        <f t="shared" si="2"/>
        <v>1</v>
      </c>
      <c r="U25" s="23">
        <v>0</v>
      </c>
      <c r="V25" s="23">
        <v>0</v>
      </c>
      <c r="W25" s="23">
        <v>0</v>
      </c>
      <c r="X25" s="33">
        <f t="shared" si="3"/>
        <v>1</v>
      </c>
      <c r="Y25" s="19" t="s">
        <v>52</v>
      </c>
      <c r="Z25" s="19"/>
      <c r="AA25" s="15" t="s">
        <v>43</v>
      </c>
      <c r="AB25" s="23">
        <v>0</v>
      </c>
      <c r="AC25" s="23">
        <v>1</v>
      </c>
      <c r="AD25" s="23">
        <v>0.5</v>
      </c>
      <c r="AE25" s="14" t="s">
        <v>101</v>
      </c>
      <c r="AF25" s="15"/>
      <c r="AG25" s="15" t="s">
        <v>50</v>
      </c>
      <c r="AH25" s="23">
        <v>0</v>
      </c>
      <c r="AI25" s="23">
        <v>0</v>
      </c>
      <c r="AJ25" s="23">
        <v>0</v>
      </c>
    </row>
    <row r="26" ht="76" customHeight="1" spans="1:36">
      <c r="A26" s="16" t="s">
        <v>108</v>
      </c>
      <c r="B26" s="17">
        <v>43</v>
      </c>
      <c r="C26" s="17" t="s">
        <v>37</v>
      </c>
      <c r="D26" s="17" t="s">
        <v>37</v>
      </c>
      <c r="E26" s="17" t="s">
        <v>109</v>
      </c>
      <c r="F26" s="17" t="s">
        <v>103</v>
      </c>
      <c r="G26" s="20" t="s">
        <v>110</v>
      </c>
      <c r="H26" s="17" t="s">
        <v>47</v>
      </c>
      <c r="I26" s="25">
        <v>1</v>
      </c>
      <c r="J26" s="25">
        <v>1</v>
      </c>
      <c r="K26" s="26">
        <f t="shared" si="0"/>
        <v>0</v>
      </c>
      <c r="L26" s="25">
        <v>0</v>
      </c>
      <c r="M26" s="25">
        <v>1</v>
      </c>
      <c r="N26" s="25">
        <v>0</v>
      </c>
      <c r="O26" s="29">
        <f t="shared" si="1"/>
        <v>0.67</v>
      </c>
      <c r="P26" s="25">
        <v>1</v>
      </c>
      <c r="Q26" s="25">
        <v>1</v>
      </c>
      <c r="R26" s="25">
        <v>0</v>
      </c>
      <c r="S26" s="25">
        <v>1</v>
      </c>
      <c r="T26" s="31">
        <f t="shared" si="2"/>
        <v>0.25</v>
      </c>
      <c r="U26" s="25">
        <v>0</v>
      </c>
      <c r="V26" s="25">
        <v>0</v>
      </c>
      <c r="W26" s="25">
        <v>0</v>
      </c>
      <c r="X26" s="34">
        <f t="shared" si="3"/>
        <v>1</v>
      </c>
      <c r="Y26" s="20" t="s">
        <v>111</v>
      </c>
      <c r="Z26" s="20"/>
      <c r="AA26" s="17" t="s">
        <v>49</v>
      </c>
      <c r="AB26" s="25">
        <v>0</v>
      </c>
      <c r="AC26" s="25">
        <v>0</v>
      </c>
      <c r="AD26" s="25">
        <v>0</v>
      </c>
      <c r="AE26" s="16" t="s">
        <v>108</v>
      </c>
      <c r="AF26" s="17"/>
      <c r="AG26" s="17" t="s">
        <v>37</v>
      </c>
      <c r="AH26" s="25">
        <v>0</v>
      </c>
      <c r="AI26" s="25">
        <v>0</v>
      </c>
      <c r="AJ26" s="25">
        <v>0</v>
      </c>
    </row>
    <row r="27" ht="76" customHeight="1" spans="1:36">
      <c r="A27" s="14" t="s">
        <v>108</v>
      </c>
      <c r="B27" s="15">
        <v>109</v>
      </c>
      <c r="C27" s="15" t="s">
        <v>44</v>
      </c>
      <c r="D27" s="15" t="s">
        <v>45</v>
      </c>
      <c r="E27" s="15" t="s">
        <v>112</v>
      </c>
      <c r="F27" s="15" t="s">
        <v>103</v>
      </c>
      <c r="G27" s="19" t="s">
        <v>110</v>
      </c>
      <c r="H27" s="15" t="s">
        <v>47</v>
      </c>
      <c r="I27" s="23">
        <v>1</v>
      </c>
      <c r="J27" s="23">
        <v>0</v>
      </c>
      <c r="K27" s="24">
        <f t="shared" si="0"/>
        <v>0.5</v>
      </c>
      <c r="L27" s="23">
        <v>0</v>
      </c>
      <c r="M27" s="23">
        <v>0</v>
      </c>
      <c r="N27" s="23">
        <v>0</v>
      </c>
      <c r="O27" s="28">
        <f t="shared" si="1"/>
        <v>1</v>
      </c>
      <c r="P27" s="23">
        <v>0</v>
      </c>
      <c r="Q27" s="23">
        <v>1</v>
      </c>
      <c r="R27" s="23">
        <v>0</v>
      </c>
      <c r="S27" s="23">
        <v>1</v>
      </c>
      <c r="T27" s="30">
        <f t="shared" si="2"/>
        <v>0.5</v>
      </c>
      <c r="U27" s="23">
        <v>0</v>
      </c>
      <c r="V27" s="23">
        <v>0</v>
      </c>
      <c r="W27" s="23">
        <v>0</v>
      </c>
      <c r="X27" s="33">
        <f t="shared" si="3"/>
        <v>1</v>
      </c>
      <c r="Y27" s="19" t="s">
        <v>113</v>
      </c>
      <c r="Z27" s="19"/>
      <c r="AA27" s="15" t="s">
        <v>49</v>
      </c>
      <c r="AB27" s="23">
        <v>0.5</v>
      </c>
      <c r="AC27" s="23">
        <v>0.5</v>
      </c>
      <c r="AD27" s="23">
        <v>0.5</v>
      </c>
      <c r="AE27" s="14" t="s">
        <v>108</v>
      </c>
      <c r="AF27" s="15"/>
      <c r="AG27" s="15" t="s">
        <v>44</v>
      </c>
      <c r="AH27" s="23">
        <v>0</v>
      </c>
      <c r="AI27" s="23">
        <v>0</v>
      </c>
      <c r="AJ27" s="23">
        <v>0</v>
      </c>
    </row>
    <row r="28" ht="76" customHeight="1" spans="1:36">
      <c r="A28" s="14" t="s">
        <v>108</v>
      </c>
      <c r="B28" s="15">
        <v>172</v>
      </c>
      <c r="C28" s="15" t="s">
        <v>50</v>
      </c>
      <c r="D28" s="15" t="s">
        <v>51</v>
      </c>
      <c r="E28" s="15" t="s">
        <v>112</v>
      </c>
      <c r="F28" s="15" t="s">
        <v>103</v>
      </c>
      <c r="G28" s="19" t="s">
        <v>110</v>
      </c>
      <c r="H28" s="15" t="s">
        <v>47</v>
      </c>
      <c r="I28" s="23">
        <v>1</v>
      </c>
      <c r="J28" s="23">
        <v>1</v>
      </c>
      <c r="K28" s="24">
        <f t="shared" si="0"/>
        <v>0</v>
      </c>
      <c r="L28" s="23">
        <v>0</v>
      </c>
      <c r="M28" s="23">
        <v>1</v>
      </c>
      <c r="N28" s="23">
        <v>0</v>
      </c>
      <c r="O28" s="28">
        <f t="shared" si="1"/>
        <v>0.67</v>
      </c>
      <c r="P28" s="23">
        <v>1</v>
      </c>
      <c r="Q28" s="23">
        <v>0</v>
      </c>
      <c r="R28" s="23">
        <v>0</v>
      </c>
      <c r="S28" s="23">
        <v>0</v>
      </c>
      <c r="T28" s="30">
        <f t="shared" si="2"/>
        <v>0.75</v>
      </c>
      <c r="U28" s="23">
        <v>0</v>
      </c>
      <c r="V28" s="23">
        <v>0</v>
      </c>
      <c r="W28" s="23">
        <v>0</v>
      </c>
      <c r="X28" s="33">
        <f t="shared" si="3"/>
        <v>1</v>
      </c>
      <c r="Y28" s="19" t="s">
        <v>114</v>
      </c>
      <c r="Z28" s="19"/>
      <c r="AA28" s="15" t="s">
        <v>49</v>
      </c>
      <c r="AB28" s="23">
        <v>0</v>
      </c>
      <c r="AC28" s="23">
        <v>0.5</v>
      </c>
      <c r="AD28" s="23">
        <v>0</v>
      </c>
      <c r="AE28" s="14" t="s">
        <v>108</v>
      </c>
      <c r="AF28" s="15"/>
      <c r="AG28" s="15" t="s">
        <v>50</v>
      </c>
      <c r="AH28" s="23">
        <v>0</v>
      </c>
      <c r="AI28" s="23">
        <v>0</v>
      </c>
      <c r="AJ28" s="23">
        <v>0</v>
      </c>
    </row>
    <row r="29" ht="76" customHeight="1" spans="1:36">
      <c r="A29" s="16" t="s">
        <v>115</v>
      </c>
      <c r="B29" s="17">
        <v>47</v>
      </c>
      <c r="C29" s="17" t="s">
        <v>37</v>
      </c>
      <c r="D29" s="17" t="s">
        <v>37</v>
      </c>
      <c r="E29" s="17" t="s">
        <v>116</v>
      </c>
      <c r="F29" s="17" t="s">
        <v>117</v>
      </c>
      <c r="G29" s="20" t="s">
        <v>118</v>
      </c>
      <c r="H29" s="17" t="s">
        <v>59</v>
      </c>
      <c r="I29" s="25">
        <v>1</v>
      </c>
      <c r="J29" s="25">
        <v>0</v>
      </c>
      <c r="K29" s="26">
        <f t="shared" si="0"/>
        <v>0.5</v>
      </c>
      <c r="L29" s="25">
        <v>0</v>
      </c>
      <c r="M29" s="25">
        <v>0</v>
      </c>
      <c r="N29" s="25">
        <v>0</v>
      </c>
      <c r="O29" s="29">
        <f t="shared" si="1"/>
        <v>1</v>
      </c>
      <c r="P29" s="25">
        <v>1</v>
      </c>
      <c r="Q29" s="25">
        <v>0</v>
      </c>
      <c r="R29" s="25">
        <v>0</v>
      </c>
      <c r="S29" s="25">
        <v>0</v>
      </c>
      <c r="T29" s="31">
        <f t="shared" si="2"/>
        <v>0.75</v>
      </c>
      <c r="U29" s="25">
        <v>0</v>
      </c>
      <c r="V29" s="25">
        <v>0</v>
      </c>
      <c r="W29" s="25">
        <v>0</v>
      </c>
      <c r="X29" s="34">
        <f t="shared" si="3"/>
        <v>1</v>
      </c>
      <c r="Y29" s="20" t="s">
        <v>119</v>
      </c>
      <c r="Z29" s="20"/>
      <c r="AA29" s="17" t="s">
        <v>49</v>
      </c>
      <c r="AB29" s="25">
        <v>0</v>
      </c>
      <c r="AC29" s="25">
        <v>0</v>
      </c>
      <c r="AD29" s="25">
        <v>0</v>
      </c>
      <c r="AE29" s="16" t="s">
        <v>115</v>
      </c>
      <c r="AF29" s="17"/>
      <c r="AG29" s="17" t="s">
        <v>37</v>
      </c>
      <c r="AH29" s="25">
        <v>0</v>
      </c>
      <c r="AI29" s="25">
        <v>0</v>
      </c>
      <c r="AJ29" s="25">
        <v>1</v>
      </c>
    </row>
    <row r="30" ht="76" customHeight="1" spans="1:36">
      <c r="A30" s="14" t="s">
        <v>115</v>
      </c>
      <c r="B30" s="15">
        <v>113</v>
      </c>
      <c r="C30" s="15" t="s">
        <v>44</v>
      </c>
      <c r="D30" s="15" t="s">
        <v>45</v>
      </c>
      <c r="E30" s="15" t="s">
        <v>120</v>
      </c>
      <c r="F30" s="15" t="s">
        <v>117</v>
      </c>
      <c r="G30" s="19" t="s">
        <v>118</v>
      </c>
      <c r="H30" s="15" t="s">
        <v>41</v>
      </c>
      <c r="I30" s="23">
        <v>0</v>
      </c>
      <c r="J30" s="23">
        <v>0</v>
      </c>
      <c r="K30" s="24">
        <f t="shared" si="0"/>
        <v>1</v>
      </c>
      <c r="L30" s="23">
        <v>0</v>
      </c>
      <c r="M30" s="23">
        <v>0</v>
      </c>
      <c r="N30" s="23">
        <v>0</v>
      </c>
      <c r="O30" s="28">
        <f t="shared" si="1"/>
        <v>1</v>
      </c>
      <c r="P30" s="23">
        <v>1</v>
      </c>
      <c r="Q30" s="23">
        <v>0</v>
      </c>
      <c r="R30" s="23">
        <v>0</v>
      </c>
      <c r="S30" s="23">
        <v>0</v>
      </c>
      <c r="T30" s="30">
        <f t="shared" si="2"/>
        <v>0.75</v>
      </c>
      <c r="U30" s="23">
        <v>0</v>
      </c>
      <c r="V30" s="23">
        <v>0</v>
      </c>
      <c r="W30" s="23">
        <v>0</v>
      </c>
      <c r="X30" s="33">
        <f t="shared" si="3"/>
        <v>1</v>
      </c>
      <c r="Y30" s="19" t="s">
        <v>121</v>
      </c>
      <c r="Z30" s="19"/>
      <c r="AA30" s="15" t="s">
        <v>61</v>
      </c>
      <c r="AB30" s="23">
        <v>1</v>
      </c>
      <c r="AC30" s="23">
        <v>0</v>
      </c>
      <c r="AD30" s="23">
        <v>0</v>
      </c>
      <c r="AE30" s="14" t="s">
        <v>115</v>
      </c>
      <c r="AF30" s="15"/>
      <c r="AG30" s="15" t="s">
        <v>44</v>
      </c>
      <c r="AH30" s="23">
        <v>1</v>
      </c>
      <c r="AI30" s="23">
        <v>0</v>
      </c>
      <c r="AJ30" s="23">
        <v>0</v>
      </c>
    </row>
    <row r="31" ht="76" customHeight="1" spans="1:36">
      <c r="A31" s="14" t="s">
        <v>115</v>
      </c>
      <c r="B31" s="15">
        <v>176</v>
      </c>
      <c r="C31" s="15" t="s">
        <v>50</v>
      </c>
      <c r="D31" s="15" t="s">
        <v>51</v>
      </c>
      <c r="E31" s="15" t="s">
        <v>120</v>
      </c>
      <c r="F31" s="15" t="s">
        <v>117</v>
      </c>
      <c r="G31" s="19" t="s">
        <v>118</v>
      </c>
      <c r="H31" s="15" t="s">
        <v>41</v>
      </c>
      <c r="I31" s="23">
        <v>0</v>
      </c>
      <c r="J31" s="23">
        <v>0</v>
      </c>
      <c r="K31" s="24">
        <f t="shared" si="0"/>
        <v>1</v>
      </c>
      <c r="L31" s="23">
        <v>0</v>
      </c>
      <c r="M31" s="23">
        <v>0</v>
      </c>
      <c r="N31" s="23">
        <v>0</v>
      </c>
      <c r="O31" s="28">
        <f t="shared" si="1"/>
        <v>1</v>
      </c>
      <c r="P31" s="23">
        <v>1</v>
      </c>
      <c r="Q31" s="23">
        <v>0</v>
      </c>
      <c r="R31" s="23">
        <v>0</v>
      </c>
      <c r="S31" s="23">
        <v>0</v>
      </c>
      <c r="T31" s="30">
        <f t="shared" si="2"/>
        <v>0.75</v>
      </c>
      <c r="U31" s="23">
        <v>0</v>
      </c>
      <c r="V31" s="23">
        <v>0</v>
      </c>
      <c r="W31" s="23">
        <v>0</v>
      </c>
      <c r="X31" s="33">
        <f t="shared" si="3"/>
        <v>1</v>
      </c>
      <c r="Y31" s="19" t="s">
        <v>122</v>
      </c>
      <c r="Z31" s="19"/>
      <c r="AA31" s="15" t="s">
        <v>43</v>
      </c>
      <c r="AB31" s="23">
        <v>0</v>
      </c>
      <c r="AC31" s="23">
        <v>0.5</v>
      </c>
      <c r="AD31" s="23">
        <v>0</v>
      </c>
      <c r="AE31" s="14" t="s">
        <v>115</v>
      </c>
      <c r="AF31" s="15"/>
      <c r="AG31" s="15" t="s">
        <v>50</v>
      </c>
      <c r="AH31" s="23">
        <v>0</v>
      </c>
      <c r="AI31" s="23">
        <v>1</v>
      </c>
      <c r="AJ31" s="23">
        <v>0</v>
      </c>
    </row>
    <row r="32" ht="76" customHeight="1" spans="1:36">
      <c r="A32" s="16" t="s">
        <v>123</v>
      </c>
      <c r="B32" s="17">
        <v>49</v>
      </c>
      <c r="C32" s="17" t="s">
        <v>37</v>
      </c>
      <c r="D32" s="17" t="s">
        <v>37</v>
      </c>
      <c r="E32" s="17" t="s">
        <v>124</v>
      </c>
      <c r="F32" s="17" t="s">
        <v>117</v>
      </c>
      <c r="G32" s="20" t="s">
        <v>118</v>
      </c>
      <c r="H32" s="17" t="s">
        <v>41</v>
      </c>
      <c r="I32" s="25">
        <v>0</v>
      </c>
      <c r="J32" s="25">
        <v>0</v>
      </c>
      <c r="K32" s="26">
        <f t="shared" si="0"/>
        <v>1</v>
      </c>
      <c r="L32" s="25">
        <v>0</v>
      </c>
      <c r="M32" s="25">
        <v>0</v>
      </c>
      <c r="N32" s="25">
        <v>0</v>
      </c>
      <c r="O32" s="29">
        <f t="shared" si="1"/>
        <v>1</v>
      </c>
      <c r="P32" s="25">
        <v>1</v>
      </c>
      <c r="Q32" s="25">
        <v>0</v>
      </c>
      <c r="R32" s="25">
        <v>0</v>
      </c>
      <c r="S32" s="25">
        <v>0</v>
      </c>
      <c r="T32" s="31">
        <f t="shared" si="2"/>
        <v>0.75</v>
      </c>
      <c r="U32" s="25">
        <v>0</v>
      </c>
      <c r="V32" s="25">
        <v>0</v>
      </c>
      <c r="W32" s="25">
        <v>0</v>
      </c>
      <c r="X32" s="34">
        <f t="shared" si="3"/>
        <v>1</v>
      </c>
      <c r="Y32" s="20" t="s">
        <v>125</v>
      </c>
      <c r="Z32" s="20"/>
      <c r="AA32" s="17" t="s">
        <v>43</v>
      </c>
      <c r="AB32" s="25">
        <v>0.5</v>
      </c>
      <c r="AC32" s="25">
        <v>0.5</v>
      </c>
      <c r="AD32" s="25">
        <v>0</v>
      </c>
      <c r="AE32" s="16" t="s">
        <v>123</v>
      </c>
      <c r="AF32" s="17"/>
      <c r="AG32" s="17" t="s">
        <v>37</v>
      </c>
      <c r="AH32" s="25">
        <v>0</v>
      </c>
      <c r="AI32" s="25">
        <v>1</v>
      </c>
      <c r="AJ32" s="25">
        <v>1</v>
      </c>
    </row>
    <row r="33" ht="76" customHeight="1" spans="1:36">
      <c r="A33" s="14" t="s">
        <v>123</v>
      </c>
      <c r="B33" s="15">
        <v>115</v>
      </c>
      <c r="C33" s="15" t="s">
        <v>44</v>
      </c>
      <c r="D33" s="15" t="s">
        <v>45</v>
      </c>
      <c r="E33" s="15" t="s">
        <v>126</v>
      </c>
      <c r="F33" s="15" t="s">
        <v>117</v>
      </c>
      <c r="G33" s="19" t="s">
        <v>118</v>
      </c>
      <c r="H33" s="15" t="s">
        <v>41</v>
      </c>
      <c r="I33" s="23">
        <v>0</v>
      </c>
      <c r="J33" s="23">
        <v>0</v>
      </c>
      <c r="K33" s="24">
        <f t="shared" si="0"/>
        <v>1</v>
      </c>
      <c r="L33" s="23">
        <v>1</v>
      </c>
      <c r="M33" s="23">
        <v>0</v>
      </c>
      <c r="N33" s="23">
        <v>0</v>
      </c>
      <c r="O33" s="28">
        <f t="shared" si="1"/>
        <v>0.67</v>
      </c>
      <c r="P33" s="23">
        <v>1</v>
      </c>
      <c r="Q33" s="23">
        <v>0</v>
      </c>
      <c r="R33" s="23">
        <v>0</v>
      </c>
      <c r="S33" s="23">
        <v>0</v>
      </c>
      <c r="T33" s="30">
        <f t="shared" si="2"/>
        <v>0.75</v>
      </c>
      <c r="U33" s="23">
        <v>0</v>
      </c>
      <c r="V33" s="23">
        <v>0</v>
      </c>
      <c r="W33" s="23">
        <v>0</v>
      </c>
      <c r="X33" s="33">
        <f t="shared" si="3"/>
        <v>1</v>
      </c>
      <c r="Y33" s="19" t="s">
        <v>127</v>
      </c>
      <c r="Z33" s="19"/>
      <c r="AA33" s="15" t="s">
        <v>61</v>
      </c>
      <c r="AB33" s="23">
        <v>1</v>
      </c>
      <c r="AC33" s="23">
        <v>1</v>
      </c>
      <c r="AD33" s="23">
        <v>1</v>
      </c>
      <c r="AE33" s="14" t="s">
        <v>123</v>
      </c>
      <c r="AF33" s="15"/>
      <c r="AG33" s="15" t="s">
        <v>44</v>
      </c>
      <c r="AH33" s="23">
        <v>0</v>
      </c>
      <c r="AI33" s="23">
        <v>0</v>
      </c>
      <c r="AJ33" s="23">
        <v>0</v>
      </c>
    </row>
    <row r="34" ht="76" customHeight="1" spans="1:36">
      <c r="A34" s="14" t="s">
        <v>123</v>
      </c>
      <c r="B34" s="15">
        <v>178</v>
      </c>
      <c r="C34" s="15" t="s">
        <v>50</v>
      </c>
      <c r="D34" s="15" t="s">
        <v>51</v>
      </c>
      <c r="E34" s="15" t="s">
        <v>126</v>
      </c>
      <c r="F34" s="15" t="s">
        <v>117</v>
      </c>
      <c r="G34" s="19" t="s">
        <v>118</v>
      </c>
      <c r="H34" s="15" t="s">
        <v>47</v>
      </c>
      <c r="I34" s="23">
        <v>0</v>
      </c>
      <c r="J34" s="23">
        <v>0</v>
      </c>
      <c r="K34" s="24">
        <f t="shared" si="0"/>
        <v>1</v>
      </c>
      <c r="L34" s="23">
        <v>0</v>
      </c>
      <c r="M34" s="23">
        <v>0</v>
      </c>
      <c r="N34" s="23">
        <v>0</v>
      </c>
      <c r="O34" s="28">
        <f t="shared" si="1"/>
        <v>1</v>
      </c>
      <c r="P34" s="23">
        <v>1</v>
      </c>
      <c r="Q34" s="23">
        <v>1</v>
      </c>
      <c r="R34" s="23">
        <v>0</v>
      </c>
      <c r="S34" s="23">
        <v>0</v>
      </c>
      <c r="T34" s="30">
        <f t="shared" si="2"/>
        <v>0.5</v>
      </c>
      <c r="U34" s="23">
        <v>0</v>
      </c>
      <c r="V34" s="23">
        <v>0</v>
      </c>
      <c r="W34" s="23">
        <v>0</v>
      </c>
      <c r="X34" s="33">
        <f t="shared" si="3"/>
        <v>1</v>
      </c>
      <c r="Y34" s="19" t="s">
        <v>128</v>
      </c>
      <c r="Z34" s="19"/>
      <c r="AA34" s="15" t="s">
        <v>49</v>
      </c>
      <c r="AB34" s="23">
        <v>0</v>
      </c>
      <c r="AC34" s="23">
        <v>0.5</v>
      </c>
      <c r="AD34" s="23">
        <v>0</v>
      </c>
      <c r="AE34" s="14" t="s">
        <v>123</v>
      </c>
      <c r="AF34" s="15"/>
      <c r="AG34" s="15" t="s">
        <v>50</v>
      </c>
      <c r="AH34" s="23">
        <v>0</v>
      </c>
      <c r="AI34" s="23">
        <v>1</v>
      </c>
      <c r="AJ34" s="23">
        <v>0</v>
      </c>
    </row>
    <row r="35" ht="76" customHeight="1" spans="1:36">
      <c r="A35" s="16" t="s">
        <v>129</v>
      </c>
      <c r="B35" s="17">
        <v>57</v>
      </c>
      <c r="C35" s="17" t="s">
        <v>37</v>
      </c>
      <c r="D35" s="17" t="s">
        <v>37</v>
      </c>
      <c r="E35" s="17" t="s">
        <v>130</v>
      </c>
      <c r="F35" s="17" t="s">
        <v>131</v>
      </c>
      <c r="G35" s="20" t="s">
        <v>132</v>
      </c>
      <c r="H35" s="17" t="s">
        <v>59</v>
      </c>
      <c r="I35" s="25">
        <v>0</v>
      </c>
      <c r="J35" s="25">
        <v>0</v>
      </c>
      <c r="K35" s="26">
        <f t="shared" si="0"/>
        <v>1</v>
      </c>
      <c r="L35" s="25">
        <v>0</v>
      </c>
      <c r="M35" s="25">
        <v>0</v>
      </c>
      <c r="N35" s="25">
        <v>0</v>
      </c>
      <c r="O35" s="29">
        <f t="shared" si="1"/>
        <v>1</v>
      </c>
      <c r="P35" s="25">
        <v>1</v>
      </c>
      <c r="Q35" s="25">
        <v>0</v>
      </c>
      <c r="R35" s="25">
        <v>1</v>
      </c>
      <c r="S35" s="25">
        <v>0</v>
      </c>
      <c r="T35" s="31">
        <f t="shared" si="2"/>
        <v>0.5</v>
      </c>
      <c r="U35" s="25">
        <v>0</v>
      </c>
      <c r="V35" s="25">
        <v>0</v>
      </c>
      <c r="W35" s="25">
        <v>1</v>
      </c>
      <c r="X35" s="34">
        <f t="shared" si="3"/>
        <v>0.67</v>
      </c>
      <c r="Y35" s="20" t="s">
        <v>133</v>
      </c>
      <c r="Z35" s="20"/>
      <c r="AA35" s="17" t="s">
        <v>49</v>
      </c>
      <c r="AB35" s="25">
        <v>0</v>
      </c>
      <c r="AC35" s="25">
        <v>1</v>
      </c>
      <c r="AD35" s="25">
        <v>0</v>
      </c>
      <c r="AE35" s="16" t="s">
        <v>129</v>
      </c>
      <c r="AF35" s="17"/>
      <c r="AG35" s="17" t="s">
        <v>37</v>
      </c>
      <c r="AH35" s="25">
        <v>0</v>
      </c>
      <c r="AI35" s="25">
        <v>1</v>
      </c>
      <c r="AJ35" s="25">
        <v>0</v>
      </c>
    </row>
    <row r="36" ht="76" customHeight="1" spans="1:36">
      <c r="A36" s="14" t="s">
        <v>129</v>
      </c>
      <c r="B36" s="15">
        <v>118</v>
      </c>
      <c r="C36" s="15" t="s">
        <v>44</v>
      </c>
      <c r="D36" s="15" t="s">
        <v>45</v>
      </c>
      <c r="E36" s="15" t="s">
        <v>134</v>
      </c>
      <c r="F36" s="15" t="s">
        <v>131</v>
      </c>
      <c r="G36" s="19" t="s">
        <v>132</v>
      </c>
      <c r="H36" s="15" t="s">
        <v>59</v>
      </c>
      <c r="I36" s="23">
        <v>1</v>
      </c>
      <c r="J36" s="23">
        <v>0</v>
      </c>
      <c r="K36" s="24">
        <f t="shared" si="0"/>
        <v>0.5</v>
      </c>
      <c r="L36" s="23">
        <v>1</v>
      </c>
      <c r="M36" s="23">
        <v>1</v>
      </c>
      <c r="N36" s="23">
        <v>0</v>
      </c>
      <c r="O36" s="28">
        <f t="shared" si="1"/>
        <v>0.33</v>
      </c>
      <c r="P36" s="23">
        <v>1</v>
      </c>
      <c r="Q36" s="23">
        <v>1</v>
      </c>
      <c r="R36" s="23">
        <v>0</v>
      </c>
      <c r="S36" s="23">
        <v>0</v>
      </c>
      <c r="T36" s="30">
        <f t="shared" si="2"/>
        <v>0.5</v>
      </c>
      <c r="U36" s="23">
        <v>0</v>
      </c>
      <c r="V36" s="23">
        <v>0</v>
      </c>
      <c r="W36" s="23">
        <v>0</v>
      </c>
      <c r="X36" s="33">
        <f t="shared" si="3"/>
        <v>1</v>
      </c>
      <c r="Y36" s="19" t="s">
        <v>135</v>
      </c>
      <c r="Z36" s="19"/>
      <c r="AA36" s="15" t="s">
        <v>49</v>
      </c>
      <c r="AB36" s="23">
        <v>1</v>
      </c>
      <c r="AC36" s="23">
        <v>1</v>
      </c>
      <c r="AD36" s="23">
        <v>1</v>
      </c>
      <c r="AE36" s="14" t="s">
        <v>129</v>
      </c>
      <c r="AF36" s="15"/>
      <c r="AG36" s="15" t="s">
        <v>44</v>
      </c>
      <c r="AH36" s="23">
        <v>3</v>
      </c>
      <c r="AI36" s="23">
        <v>3</v>
      </c>
      <c r="AJ36" s="23">
        <v>3</v>
      </c>
    </row>
    <row r="37" ht="76" customHeight="1" spans="1:36">
      <c r="A37" s="14" t="s">
        <v>129</v>
      </c>
      <c r="B37" s="15">
        <v>186</v>
      </c>
      <c r="C37" s="15" t="s">
        <v>50</v>
      </c>
      <c r="D37" s="15" t="s">
        <v>51</v>
      </c>
      <c r="E37" s="15" t="s">
        <v>134</v>
      </c>
      <c r="F37" s="15" t="s">
        <v>131</v>
      </c>
      <c r="G37" s="19" t="s">
        <v>132</v>
      </c>
      <c r="H37" s="15" t="s">
        <v>47</v>
      </c>
      <c r="I37" s="23">
        <v>1</v>
      </c>
      <c r="J37" s="23">
        <v>1</v>
      </c>
      <c r="K37" s="24">
        <f t="shared" si="0"/>
        <v>0</v>
      </c>
      <c r="L37" s="23">
        <v>0</v>
      </c>
      <c r="M37" s="23">
        <v>0</v>
      </c>
      <c r="N37" s="23">
        <v>0</v>
      </c>
      <c r="O37" s="28">
        <f t="shared" si="1"/>
        <v>1</v>
      </c>
      <c r="P37" s="23">
        <v>1</v>
      </c>
      <c r="Q37" s="23">
        <v>1</v>
      </c>
      <c r="R37" s="23">
        <v>1</v>
      </c>
      <c r="S37" s="23">
        <v>0</v>
      </c>
      <c r="T37" s="30">
        <f t="shared" si="2"/>
        <v>0.25</v>
      </c>
      <c r="U37" s="23">
        <v>0</v>
      </c>
      <c r="V37" s="23">
        <v>0</v>
      </c>
      <c r="W37" s="23">
        <v>0</v>
      </c>
      <c r="X37" s="33">
        <f t="shared" si="3"/>
        <v>1</v>
      </c>
      <c r="Y37" s="19" t="s">
        <v>136</v>
      </c>
      <c r="Z37" s="19"/>
      <c r="AA37" s="15" t="s">
        <v>49</v>
      </c>
      <c r="AB37" s="23">
        <v>1</v>
      </c>
      <c r="AC37" s="23">
        <v>1</v>
      </c>
      <c r="AD37" s="23">
        <v>0</v>
      </c>
      <c r="AE37" s="14" t="s">
        <v>129</v>
      </c>
      <c r="AF37" s="15"/>
      <c r="AG37" s="15" t="s">
        <v>50</v>
      </c>
      <c r="AH37" s="23">
        <v>2</v>
      </c>
      <c r="AI37" s="23">
        <v>3</v>
      </c>
      <c r="AJ37" s="23">
        <v>0</v>
      </c>
    </row>
    <row r="38" ht="76" customHeight="1" spans="1:36">
      <c r="A38" s="16" t="s">
        <v>137</v>
      </c>
      <c r="B38" s="17">
        <v>59</v>
      </c>
      <c r="C38" s="17" t="s">
        <v>37</v>
      </c>
      <c r="D38" s="17" t="s">
        <v>37</v>
      </c>
      <c r="E38" s="17" t="s">
        <v>138</v>
      </c>
      <c r="F38" s="17" t="s">
        <v>131</v>
      </c>
      <c r="G38" s="20" t="s">
        <v>132</v>
      </c>
      <c r="H38" s="17" t="s">
        <v>59</v>
      </c>
      <c r="I38" s="25">
        <v>1</v>
      </c>
      <c r="J38" s="25">
        <v>0</v>
      </c>
      <c r="K38" s="26">
        <f t="shared" si="0"/>
        <v>0.5</v>
      </c>
      <c r="L38" s="25">
        <v>0</v>
      </c>
      <c r="M38" s="25">
        <v>1</v>
      </c>
      <c r="N38" s="25">
        <v>1</v>
      </c>
      <c r="O38" s="29">
        <f t="shared" si="1"/>
        <v>0.33</v>
      </c>
      <c r="P38" s="25">
        <v>1</v>
      </c>
      <c r="Q38" s="25">
        <v>1</v>
      </c>
      <c r="R38" s="25">
        <v>1</v>
      </c>
      <c r="S38" s="25">
        <v>0</v>
      </c>
      <c r="T38" s="31">
        <f t="shared" si="2"/>
        <v>0.25</v>
      </c>
      <c r="U38" s="25">
        <v>0</v>
      </c>
      <c r="V38" s="25">
        <v>0</v>
      </c>
      <c r="W38" s="25">
        <v>0</v>
      </c>
      <c r="X38" s="34">
        <f t="shared" si="3"/>
        <v>1</v>
      </c>
      <c r="Y38" s="20" t="s">
        <v>139</v>
      </c>
      <c r="Z38" s="20"/>
      <c r="AA38" s="17" t="s">
        <v>49</v>
      </c>
      <c r="AB38" s="25">
        <v>0</v>
      </c>
      <c r="AC38" s="25">
        <v>0</v>
      </c>
      <c r="AD38" s="25">
        <v>0</v>
      </c>
      <c r="AE38" s="16" t="s">
        <v>137</v>
      </c>
      <c r="AF38" s="17"/>
      <c r="AG38" s="17" t="s">
        <v>37</v>
      </c>
      <c r="AH38" s="25">
        <v>0</v>
      </c>
      <c r="AI38" s="25">
        <v>0</v>
      </c>
      <c r="AJ38" s="25">
        <v>0</v>
      </c>
    </row>
    <row r="39" ht="76" customHeight="1" spans="1:36">
      <c r="A39" s="14" t="s">
        <v>137</v>
      </c>
      <c r="B39" s="15">
        <v>120</v>
      </c>
      <c r="C39" s="15" t="s">
        <v>44</v>
      </c>
      <c r="D39" s="15" t="s">
        <v>45</v>
      </c>
      <c r="E39" s="15" t="s">
        <v>140</v>
      </c>
      <c r="F39" s="15" t="s">
        <v>131</v>
      </c>
      <c r="G39" s="19" t="s">
        <v>132</v>
      </c>
      <c r="H39" s="15" t="s">
        <v>41</v>
      </c>
      <c r="I39" s="23">
        <v>0</v>
      </c>
      <c r="J39" s="23">
        <v>0</v>
      </c>
      <c r="K39" s="24">
        <f t="shared" si="0"/>
        <v>1</v>
      </c>
      <c r="L39" s="23">
        <v>0</v>
      </c>
      <c r="M39" s="23">
        <v>0</v>
      </c>
      <c r="N39" s="23">
        <v>0</v>
      </c>
      <c r="O39" s="28">
        <f t="shared" si="1"/>
        <v>1</v>
      </c>
      <c r="P39" s="23">
        <v>1</v>
      </c>
      <c r="Q39" s="23">
        <v>1</v>
      </c>
      <c r="R39" s="23">
        <v>0</v>
      </c>
      <c r="S39" s="23">
        <v>0</v>
      </c>
      <c r="T39" s="30">
        <f t="shared" si="2"/>
        <v>0.5</v>
      </c>
      <c r="U39" s="23">
        <v>0</v>
      </c>
      <c r="V39" s="23">
        <v>0</v>
      </c>
      <c r="W39" s="23">
        <v>0</v>
      </c>
      <c r="X39" s="33">
        <f t="shared" si="3"/>
        <v>1</v>
      </c>
      <c r="Y39" s="19" t="s">
        <v>141</v>
      </c>
      <c r="Z39" s="19"/>
      <c r="AA39" s="15" t="s">
        <v>61</v>
      </c>
      <c r="AB39" s="23">
        <v>1</v>
      </c>
      <c r="AC39" s="23">
        <v>1</v>
      </c>
      <c r="AD39" s="23">
        <v>1</v>
      </c>
      <c r="AE39" s="14" t="s">
        <v>137</v>
      </c>
      <c r="AF39" s="15"/>
      <c r="AG39" s="15" t="s">
        <v>44</v>
      </c>
      <c r="AH39" s="23">
        <v>3</v>
      </c>
      <c r="AI39" s="23">
        <v>3</v>
      </c>
      <c r="AJ39" s="23">
        <v>3</v>
      </c>
    </row>
    <row r="40" ht="76" customHeight="1" spans="1:36">
      <c r="A40" s="14" t="s">
        <v>137</v>
      </c>
      <c r="B40" s="15">
        <v>188</v>
      </c>
      <c r="C40" s="15" t="s">
        <v>50</v>
      </c>
      <c r="D40" s="15" t="s">
        <v>51</v>
      </c>
      <c r="E40" s="15" t="s">
        <v>140</v>
      </c>
      <c r="F40" s="15" t="s">
        <v>131</v>
      </c>
      <c r="G40" s="19" t="s">
        <v>132</v>
      </c>
      <c r="H40" s="15" t="s">
        <v>47</v>
      </c>
      <c r="I40" s="23">
        <v>1</v>
      </c>
      <c r="J40" s="23">
        <v>0</v>
      </c>
      <c r="K40" s="24">
        <f t="shared" si="0"/>
        <v>0.5</v>
      </c>
      <c r="L40" s="23">
        <v>0</v>
      </c>
      <c r="M40" s="23">
        <v>0</v>
      </c>
      <c r="N40" s="23">
        <v>0</v>
      </c>
      <c r="O40" s="28">
        <f t="shared" si="1"/>
        <v>1</v>
      </c>
      <c r="P40" s="23">
        <v>1</v>
      </c>
      <c r="Q40" s="23">
        <v>0</v>
      </c>
      <c r="R40" s="23">
        <v>0</v>
      </c>
      <c r="S40" s="23">
        <v>0</v>
      </c>
      <c r="T40" s="30">
        <f t="shared" si="2"/>
        <v>0.75</v>
      </c>
      <c r="U40" s="23">
        <v>0</v>
      </c>
      <c r="V40" s="23">
        <v>1</v>
      </c>
      <c r="W40" s="23">
        <v>0</v>
      </c>
      <c r="X40" s="33">
        <f t="shared" si="3"/>
        <v>0.67</v>
      </c>
      <c r="Y40" s="19" t="s">
        <v>142</v>
      </c>
      <c r="Z40" s="19"/>
      <c r="AA40" s="15" t="s">
        <v>49</v>
      </c>
      <c r="AB40" s="23">
        <v>1</v>
      </c>
      <c r="AC40" s="23">
        <v>1</v>
      </c>
      <c r="AD40" s="23">
        <v>0</v>
      </c>
      <c r="AE40" s="14" t="s">
        <v>137</v>
      </c>
      <c r="AF40" s="15"/>
      <c r="AG40" s="15" t="s">
        <v>50</v>
      </c>
      <c r="AH40" s="23">
        <v>0</v>
      </c>
      <c r="AI40" s="23">
        <v>0</v>
      </c>
      <c r="AJ40" s="23">
        <v>0</v>
      </c>
    </row>
    <row r="41" ht="76" customHeight="1" spans="1:36">
      <c r="A41" s="16" t="s">
        <v>143</v>
      </c>
      <c r="B41" s="17">
        <v>63</v>
      </c>
      <c r="C41" s="17" t="s">
        <v>37</v>
      </c>
      <c r="D41" s="17" t="s">
        <v>37</v>
      </c>
      <c r="E41" s="17" t="s">
        <v>144</v>
      </c>
      <c r="F41" s="17" t="s">
        <v>145</v>
      </c>
      <c r="G41" s="20" t="s">
        <v>146</v>
      </c>
      <c r="H41" s="17" t="s">
        <v>41</v>
      </c>
      <c r="I41" s="25">
        <v>0</v>
      </c>
      <c r="J41" s="25">
        <v>0</v>
      </c>
      <c r="K41" s="26">
        <f t="shared" si="0"/>
        <v>1</v>
      </c>
      <c r="L41" s="25">
        <v>0</v>
      </c>
      <c r="M41" s="25">
        <v>1</v>
      </c>
      <c r="N41" s="25">
        <v>0</v>
      </c>
      <c r="O41" s="29">
        <f t="shared" si="1"/>
        <v>0.67</v>
      </c>
      <c r="P41" s="25">
        <v>1</v>
      </c>
      <c r="Q41" s="25">
        <v>0</v>
      </c>
      <c r="R41" s="25">
        <v>0</v>
      </c>
      <c r="S41" s="25">
        <v>0</v>
      </c>
      <c r="T41" s="31">
        <f t="shared" si="2"/>
        <v>0.75</v>
      </c>
      <c r="U41" s="25">
        <v>0</v>
      </c>
      <c r="V41" s="25">
        <v>0</v>
      </c>
      <c r="W41" s="25">
        <v>0</v>
      </c>
      <c r="X41" s="34">
        <f t="shared" si="3"/>
        <v>1</v>
      </c>
      <c r="Y41" s="20" t="s">
        <v>147</v>
      </c>
      <c r="Z41" s="20"/>
      <c r="AA41" s="17" t="s">
        <v>43</v>
      </c>
      <c r="AB41" s="25">
        <v>1</v>
      </c>
      <c r="AC41" s="25">
        <v>0</v>
      </c>
      <c r="AD41" s="25">
        <v>0.5</v>
      </c>
      <c r="AE41" s="16" t="s">
        <v>143</v>
      </c>
      <c r="AF41" s="17"/>
      <c r="AG41" s="17" t="s">
        <v>37</v>
      </c>
      <c r="AH41" s="25">
        <v>0</v>
      </c>
      <c r="AI41" s="25">
        <v>0</v>
      </c>
      <c r="AJ41" s="25">
        <v>1</v>
      </c>
    </row>
    <row r="42" ht="76" customHeight="1" spans="1:36">
      <c r="A42" s="14" t="s">
        <v>143</v>
      </c>
      <c r="B42" s="15">
        <v>124</v>
      </c>
      <c r="C42" s="15" t="s">
        <v>44</v>
      </c>
      <c r="D42" s="15" t="s">
        <v>45</v>
      </c>
      <c r="E42" s="15" t="s">
        <v>148</v>
      </c>
      <c r="F42" s="15" t="s">
        <v>145</v>
      </c>
      <c r="G42" s="19" t="s">
        <v>146</v>
      </c>
      <c r="H42" s="15" t="s">
        <v>47</v>
      </c>
      <c r="I42" s="23">
        <v>1</v>
      </c>
      <c r="J42" s="23">
        <v>1</v>
      </c>
      <c r="K42" s="24">
        <f t="shared" si="0"/>
        <v>0</v>
      </c>
      <c r="L42" s="23">
        <v>1</v>
      </c>
      <c r="M42" s="23">
        <v>0</v>
      </c>
      <c r="N42" s="23">
        <v>0</v>
      </c>
      <c r="O42" s="28">
        <f t="shared" si="1"/>
        <v>0.67</v>
      </c>
      <c r="P42" s="23">
        <v>1</v>
      </c>
      <c r="Q42" s="23">
        <v>1</v>
      </c>
      <c r="R42" s="23">
        <v>1</v>
      </c>
      <c r="S42" s="23">
        <v>0</v>
      </c>
      <c r="T42" s="30">
        <f t="shared" si="2"/>
        <v>0.25</v>
      </c>
      <c r="U42" s="23">
        <v>0</v>
      </c>
      <c r="V42" s="23">
        <v>0</v>
      </c>
      <c r="W42" s="23">
        <v>0</v>
      </c>
      <c r="X42" s="33">
        <f t="shared" si="3"/>
        <v>1</v>
      </c>
      <c r="Y42" s="19" t="s">
        <v>149</v>
      </c>
      <c r="Z42" s="19"/>
      <c r="AA42" s="15" t="s">
        <v>49</v>
      </c>
      <c r="AB42" s="23">
        <v>1</v>
      </c>
      <c r="AC42" s="23">
        <v>1</v>
      </c>
      <c r="AD42" s="23">
        <v>1</v>
      </c>
      <c r="AE42" s="14" t="s">
        <v>143</v>
      </c>
      <c r="AF42" s="15"/>
      <c r="AG42" s="15" t="s">
        <v>44</v>
      </c>
      <c r="AH42" s="23">
        <v>3</v>
      </c>
      <c r="AI42" s="23">
        <v>3</v>
      </c>
      <c r="AJ42" s="23">
        <v>3</v>
      </c>
    </row>
    <row r="43" ht="76" customHeight="1" spans="1:36">
      <c r="A43" s="14" t="s">
        <v>143</v>
      </c>
      <c r="B43" s="15">
        <v>192</v>
      </c>
      <c r="C43" s="15" t="s">
        <v>50</v>
      </c>
      <c r="D43" s="15" t="s">
        <v>51</v>
      </c>
      <c r="E43" s="15" t="s">
        <v>148</v>
      </c>
      <c r="F43" s="15" t="s">
        <v>145</v>
      </c>
      <c r="G43" s="19" t="s">
        <v>146</v>
      </c>
      <c r="H43" s="15" t="s">
        <v>41</v>
      </c>
      <c r="I43" s="23">
        <v>0</v>
      </c>
      <c r="J43" s="23">
        <v>0</v>
      </c>
      <c r="K43" s="24">
        <f t="shared" si="0"/>
        <v>1</v>
      </c>
      <c r="L43" s="23">
        <v>0</v>
      </c>
      <c r="M43" s="23">
        <v>1</v>
      </c>
      <c r="N43" s="23">
        <v>0</v>
      </c>
      <c r="O43" s="28">
        <f t="shared" si="1"/>
        <v>0.67</v>
      </c>
      <c r="P43" s="23">
        <v>1</v>
      </c>
      <c r="Q43" s="23">
        <v>0</v>
      </c>
      <c r="R43" s="23">
        <v>0</v>
      </c>
      <c r="S43" s="23">
        <v>0</v>
      </c>
      <c r="T43" s="30">
        <f t="shared" si="2"/>
        <v>0.75</v>
      </c>
      <c r="U43" s="23">
        <v>0</v>
      </c>
      <c r="V43" s="23">
        <v>0</v>
      </c>
      <c r="W43" s="23">
        <v>0</v>
      </c>
      <c r="X43" s="33">
        <f t="shared" si="3"/>
        <v>1</v>
      </c>
      <c r="Y43" s="19" t="s">
        <v>150</v>
      </c>
      <c r="Z43" s="19"/>
      <c r="AA43" s="15" t="s">
        <v>61</v>
      </c>
      <c r="AB43" s="23">
        <v>1</v>
      </c>
      <c r="AC43" s="23">
        <v>1</v>
      </c>
      <c r="AD43" s="23">
        <v>0</v>
      </c>
      <c r="AE43" s="14" t="s">
        <v>143</v>
      </c>
      <c r="AF43" s="15"/>
      <c r="AG43" s="15" t="s">
        <v>50</v>
      </c>
      <c r="AH43" s="23">
        <v>1</v>
      </c>
      <c r="AI43" s="23">
        <v>0</v>
      </c>
      <c r="AJ43" s="23">
        <v>0</v>
      </c>
    </row>
    <row r="44" ht="76" customHeight="1" spans="1:36">
      <c r="A44" s="16" t="s">
        <v>151</v>
      </c>
      <c r="B44" s="17">
        <v>68</v>
      </c>
      <c r="C44" s="17" t="s">
        <v>37</v>
      </c>
      <c r="D44" s="17" t="s">
        <v>37</v>
      </c>
      <c r="E44" s="17" t="s">
        <v>152</v>
      </c>
      <c r="F44" s="17" t="s">
        <v>145</v>
      </c>
      <c r="G44" s="20" t="s">
        <v>153</v>
      </c>
      <c r="H44" s="17" t="s">
        <v>41</v>
      </c>
      <c r="I44" s="25">
        <v>0</v>
      </c>
      <c r="J44" s="25">
        <v>0</v>
      </c>
      <c r="K44" s="26">
        <f t="shared" si="0"/>
        <v>1</v>
      </c>
      <c r="L44" s="25">
        <v>0</v>
      </c>
      <c r="M44" s="25">
        <v>1</v>
      </c>
      <c r="N44" s="25">
        <v>1</v>
      </c>
      <c r="O44" s="29">
        <f t="shared" si="1"/>
        <v>0.33</v>
      </c>
      <c r="P44" s="25">
        <v>1</v>
      </c>
      <c r="Q44" s="25">
        <v>0</v>
      </c>
      <c r="R44" s="25">
        <v>0</v>
      </c>
      <c r="S44" s="25">
        <v>0</v>
      </c>
      <c r="T44" s="31">
        <f t="shared" si="2"/>
        <v>0.75</v>
      </c>
      <c r="U44" s="25">
        <v>0</v>
      </c>
      <c r="V44" s="25">
        <v>0</v>
      </c>
      <c r="W44" s="25">
        <v>0</v>
      </c>
      <c r="X44" s="34">
        <f t="shared" si="3"/>
        <v>1</v>
      </c>
      <c r="Y44" s="20" t="s">
        <v>154</v>
      </c>
      <c r="Z44" s="20"/>
      <c r="AA44" s="17"/>
      <c r="AB44" s="25">
        <v>0</v>
      </c>
      <c r="AC44" s="25">
        <v>0</v>
      </c>
      <c r="AD44" s="25"/>
      <c r="AE44" s="16" t="s">
        <v>151</v>
      </c>
      <c r="AF44" s="17"/>
      <c r="AG44" s="17" t="s">
        <v>37</v>
      </c>
      <c r="AH44" s="25">
        <v>0</v>
      </c>
      <c r="AI44" s="25">
        <v>0</v>
      </c>
      <c r="AJ44" s="25">
        <v>1</v>
      </c>
    </row>
    <row r="45" ht="76" customHeight="1" spans="1:36">
      <c r="A45" s="14" t="s">
        <v>151</v>
      </c>
      <c r="B45" s="15">
        <v>129</v>
      </c>
      <c r="C45" s="15" t="s">
        <v>44</v>
      </c>
      <c r="D45" s="15" t="s">
        <v>45</v>
      </c>
      <c r="E45" s="15" t="s">
        <v>155</v>
      </c>
      <c r="F45" s="15" t="s">
        <v>145</v>
      </c>
      <c r="G45" s="19" t="s">
        <v>153</v>
      </c>
      <c r="H45" s="15" t="s">
        <v>41</v>
      </c>
      <c r="I45" s="23">
        <v>0</v>
      </c>
      <c r="J45" s="23">
        <v>0</v>
      </c>
      <c r="K45" s="24">
        <f t="shared" si="0"/>
        <v>1</v>
      </c>
      <c r="L45" s="23">
        <v>0</v>
      </c>
      <c r="M45" s="23">
        <v>0</v>
      </c>
      <c r="N45" s="23">
        <v>0</v>
      </c>
      <c r="O45" s="28">
        <f t="shared" si="1"/>
        <v>1</v>
      </c>
      <c r="P45" s="23">
        <v>1</v>
      </c>
      <c r="Q45" s="23">
        <v>0</v>
      </c>
      <c r="R45" s="23">
        <v>0</v>
      </c>
      <c r="S45" s="23">
        <v>0</v>
      </c>
      <c r="T45" s="30">
        <f t="shared" si="2"/>
        <v>0.75</v>
      </c>
      <c r="U45" s="23">
        <v>0</v>
      </c>
      <c r="V45" s="23">
        <v>0</v>
      </c>
      <c r="W45" s="23">
        <v>0</v>
      </c>
      <c r="X45" s="33">
        <f t="shared" si="3"/>
        <v>1</v>
      </c>
      <c r="Y45" s="19" t="s">
        <v>156</v>
      </c>
      <c r="Z45" s="19"/>
      <c r="AA45" s="15" t="s">
        <v>61</v>
      </c>
      <c r="AB45" s="23">
        <v>1</v>
      </c>
      <c r="AC45" s="23">
        <v>1</v>
      </c>
      <c r="AD45" s="23">
        <v>1</v>
      </c>
      <c r="AE45" s="14" t="s">
        <v>151</v>
      </c>
      <c r="AF45" s="15"/>
      <c r="AG45" s="15" t="s">
        <v>44</v>
      </c>
      <c r="AH45" s="23">
        <v>1</v>
      </c>
      <c r="AI45" s="23">
        <v>0</v>
      </c>
      <c r="AJ45" s="23">
        <v>0</v>
      </c>
    </row>
    <row r="46" ht="76" customHeight="1" spans="1:36">
      <c r="A46" s="14" t="s">
        <v>151</v>
      </c>
      <c r="B46" s="15">
        <v>197</v>
      </c>
      <c r="C46" s="15" t="s">
        <v>50</v>
      </c>
      <c r="D46" s="15" t="s">
        <v>51</v>
      </c>
      <c r="E46" s="15" t="s">
        <v>155</v>
      </c>
      <c r="F46" s="15" t="s">
        <v>145</v>
      </c>
      <c r="G46" s="19" t="s">
        <v>153</v>
      </c>
      <c r="H46" s="15" t="s">
        <v>59</v>
      </c>
      <c r="I46" s="23">
        <v>0</v>
      </c>
      <c r="J46" s="23">
        <v>0</v>
      </c>
      <c r="K46" s="24">
        <f t="shared" si="0"/>
        <v>1</v>
      </c>
      <c r="L46" s="23">
        <v>0</v>
      </c>
      <c r="M46" s="23">
        <v>0</v>
      </c>
      <c r="N46" s="23">
        <v>0</v>
      </c>
      <c r="O46" s="28">
        <f t="shared" si="1"/>
        <v>1</v>
      </c>
      <c r="P46" s="23">
        <v>1</v>
      </c>
      <c r="Q46" s="23">
        <v>1</v>
      </c>
      <c r="R46" s="23">
        <v>1</v>
      </c>
      <c r="S46" s="23">
        <v>0</v>
      </c>
      <c r="T46" s="30">
        <f t="shared" si="2"/>
        <v>0.25</v>
      </c>
      <c r="U46" s="23">
        <v>0</v>
      </c>
      <c r="V46" s="23">
        <v>0</v>
      </c>
      <c r="W46" s="23">
        <v>0</v>
      </c>
      <c r="X46" s="33">
        <f t="shared" si="3"/>
        <v>1</v>
      </c>
      <c r="Y46" s="19" t="s">
        <v>157</v>
      </c>
      <c r="Z46" s="19"/>
      <c r="AA46" s="15" t="s">
        <v>49</v>
      </c>
      <c r="AB46" s="23">
        <v>1</v>
      </c>
      <c r="AC46" s="23">
        <v>1</v>
      </c>
      <c r="AD46" s="23">
        <v>0</v>
      </c>
      <c r="AE46" s="14" t="s">
        <v>151</v>
      </c>
      <c r="AF46" s="15"/>
      <c r="AG46" s="15" t="s">
        <v>50</v>
      </c>
      <c r="AH46" s="23">
        <v>1</v>
      </c>
      <c r="AI46" s="23">
        <v>0</v>
      </c>
      <c r="AJ46" s="23">
        <v>0</v>
      </c>
    </row>
  </sheetData>
  <conditionalFormatting sqref="I2:J46">
    <cfRule type="cellIs" dxfId="0" priority="2" operator="equal">
      <formula>1</formula>
    </cfRule>
  </conditionalFormatting>
  <conditionalFormatting sqref="L2:N46">
    <cfRule type="cellIs" dxfId="0" priority="3" operator="equal">
      <formula>1</formula>
    </cfRule>
  </conditionalFormatting>
  <conditionalFormatting sqref="P2:S46">
    <cfRule type="cellIs" dxfId="0" priority="4" operator="equal">
      <formula>1</formula>
    </cfRule>
  </conditionalFormatting>
  <conditionalFormatting sqref="U2:W46">
    <cfRule type="cellIs" dxfId="0" priority="5" operator="equal">
      <formula>1</formula>
    </cfRule>
  </conditionalFormatting>
  <conditionalFormatting sqref="AB2:AD46">
    <cfRule type="cellIs" dxfId="0" priority="6" operator="equal">
      <formula>1</formula>
    </cfRule>
  </conditionalFormatting>
  <conditionalFormatting sqref="AH2:AJ46">
    <cfRule type="cellIs" dxfId="0" priority="1" operator="equal">
      <formula>1</formula>
    </cfRule>
  </conditionalFormatting>
  <dataValidations count="2">
    <dataValidation type="list" sqref="AA2:AA46">
      <formula1>"Yes,No"</formula1>
    </dataValidation>
    <dataValidation type="list" sqref="I2:J46 L2:N46 U2:W46 P2:S46 AB2:AD46 AH2:AJ46">
      <formula1>"0,1"</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showGridLines="0" workbookViewId="0">
      <selection activeCell="A1" sqref="A1"/>
    </sheetView>
  </sheetViews>
  <sheetFormatPr defaultColWidth="9" defaultRowHeight="16.8" outlineLevelCol="3"/>
  <cols>
    <col min="1" max="1" width="22" customWidth="1"/>
    <col min="2" max="3" width="19" customWidth="1"/>
    <col min="4" max="4" width="47" customWidth="1"/>
  </cols>
  <sheetData>
    <row r="1" ht="23.2" spans="1:4">
      <c r="A1" s="1" t="s">
        <v>158</v>
      </c>
      <c r="B1" s="2"/>
      <c r="C1" s="2"/>
      <c r="D1" s="2"/>
    </row>
    <row r="2" spans="1:4">
      <c r="A2" s="3" t="s">
        <v>159</v>
      </c>
      <c r="B2" s="2"/>
      <c r="C2" s="2"/>
      <c r="D2" s="2"/>
    </row>
    <row r="3" spans="1:4">
      <c r="A3" s="2"/>
      <c r="B3" s="2"/>
      <c r="C3" s="2"/>
      <c r="D3" s="2"/>
    </row>
    <row r="4" ht="25" customHeight="1" spans="1:4">
      <c r="A4" s="4" t="s">
        <v>160</v>
      </c>
      <c r="B4" s="4" t="s">
        <v>161</v>
      </c>
      <c r="C4" s="4" t="s">
        <v>162</v>
      </c>
      <c r="D4" s="4" t="s">
        <v>163</v>
      </c>
    </row>
    <row r="5" ht="25" customHeight="1" spans="1:4">
      <c r="A5" s="5" t="s">
        <v>39</v>
      </c>
      <c r="B5" s="5">
        <v>1</v>
      </c>
      <c r="C5" s="5">
        <v>3</v>
      </c>
      <c r="D5" s="6" t="s">
        <v>36</v>
      </c>
    </row>
    <row r="6" ht="25" customHeight="1" spans="1:4">
      <c r="A6" s="7" t="s">
        <v>55</v>
      </c>
      <c r="B6" s="7">
        <v>2</v>
      </c>
      <c r="C6" s="7">
        <v>6</v>
      </c>
      <c r="D6" s="8" t="s">
        <v>164</v>
      </c>
    </row>
    <row r="7" ht="25" customHeight="1" spans="1:4">
      <c r="A7" s="7" t="s">
        <v>72</v>
      </c>
      <c r="B7" s="7">
        <v>2</v>
      </c>
      <c r="C7" s="7">
        <v>6</v>
      </c>
      <c r="D7" s="8" t="s">
        <v>165</v>
      </c>
    </row>
    <row r="8" ht="25" customHeight="1" spans="1:4">
      <c r="A8" s="7" t="s">
        <v>87</v>
      </c>
      <c r="B8" s="7">
        <v>2</v>
      </c>
      <c r="C8" s="7">
        <v>6</v>
      </c>
      <c r="D8" s="8" t="s">
        <v>166</v>
      </c>
    </row>
    <row r="9" ht="25" customHeight="1" spans="1:4">
      <c r="A9" s="7" t="s">
        <v>103</v>
      </c>
      <c r="B9" s="7">
        <v>2</v>
      </c>
      <c r="C9" s="7">
        <v>6</v>
      </c>
      <c r="D9" s="8" t="s">
        <v>167</v>
      </c>
    </row>
    <row r="10" ht="25" customHeight="1" spans="1:4">
      <c r="A10" s="7" t="s">
        <v>117</v>
      </c>
      <c r="B10" s="7">
        <v>2</v>
      </c>
      <c r="C10" s="7">
        <v>6</v>
      </c>
      <c r="D10" s="8" t="s">
        <v>168</v>
      </c>
    </row>
    <row r="11" ht="25" customHeight="1" spans="1:4">
      <c r="A11" s="7" t="s">
        <v>131</v>
      </c>
      <c r="B11" s="7">
        <v>2</v>
      </c>
      <c r="C11" s="7">
        <v>6</v>
      </c>
      <c r="D11" s="8" t="s">
        <v>169</v>
      </c>
    </row>
    <row r="12" ht="25" customHeight="1" spans="1:4">
      <c r="A12" s="9" t="s">
        <v>145</v>
      </c>
      <c r="B12" s="9">
        <v>2</v>
      </c>
      <c r="C12" s="9">
        <v>6</v>
      </c>
      <c r="D12" s="10" t="s">
        <v>170</v>
      </c>
    </row>
    <row r="13" spans="1:4">
      <c r="A13" s="2"/>
      <c r="B13" s="2"/>
      <c r="C13" s="2"/>
      <c r="D13" s="2"/>
    </row>
    <row r="14" ht="25" customHeight="1" spans="1:4">
      <c r="A14" s="4" t="s">
        <v>3</v>
      </c>
      <c r="B14" s="4" t="s">
        <v>162</v>
      </c>
      <c r="C14" s="2"/>
      <c r="D14" s="2"/>
    </row>
    <row r="15" spans="1:4">
      <c r="A15" s="2" t="s">
        <v>37</v>
      </c>
      <c r="B15" s="2">
        <v>15</v>
      </c>
      <c r="C15" s="2"/>
      <c r="D15" s="2"/>
    </row>
    <row r="16" spans="1:4">
      <c r="A16" s="2" t="s">
        <v>45</v>
      </c>
      <c r="B16" s="2">
        <v>15</v>
      </c>
      <c r="C16" s="2"/>
      <c r="D16" s="2"/>
    </row>
    <row r="17" spans="1:4">
      <c r="A17" s="2" t="s">
        <v>51</v>
      </c>
      <c r="B17" s="2">
        <v>15</v>
      </c>
      <c r="C17" s="2"/>
      <c r="D17" s="2"/>
    </row>
    <row r="18" spans="1:4">
      <c r="A18" s="2"/>
      <c r="B18" s="2"/>
      <c r="C18" s="2"/>
      <c r="D18" s="2"/>
    </row>
    <row r="19" spans="1:4">
      <c r="A19" s="11" t="s">
        <v>171</v>
      </c>
      <c r="B19" s="2"/>
      <c r="C19" s="2"/>
      <c r="D19" s="2"/>
    </row>
    <row r="20" ht="32" customHeight="1" spans="1:4">
      <c r="A20" s="12" t="s">
        <v>172</v>
      </c>
      <c r="B20" s="2"/>
      <c r="C20" s="2"/>
      <c r="D20" s="2"/>
    </row>
    <row r="21" ht="32" customHeight="1" spans="1:4">
      <c r="A21" s="12" t="s">
        <v>173</v>
      </c>
      <c r="B21" s="2"/>
      <c r="C21" s="2"/>
      <c r="D21" s="2"/>
    </row>
  </sheetData>
  <mergeCells count="2">
    <mergeCell ref="A20:D20"/>
    <mergeCell ref="A21:D2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Selected 45</vt:lpstr>
      <vt:lpstr>Selection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Wilson</cp:lastModifiedBy>
  <dcterms:created xsi:type="dcterms:W3CDTF">2026-09-24T23:23:47Z</dcterms:created>
  <dcterms:modified xsi:type="dcterms:W3CDTF">2026-09-25T20:29:58Z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1033-6.5.2.8766</vt:lpwstr>
  </property>
  <property fmtid="{D5CDD505-2E9C-101B-9397-08002B2CF9AE}" pid="3" name="ICV">
    <vt:lpwstr>D764834964EE01A50612B76A2B865052_43</vt:lpwstr>
  </property>
</Properties>
</file>